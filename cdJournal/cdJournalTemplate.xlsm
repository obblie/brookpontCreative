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F7D50500-D68E-4561-8A43-B31F77D0E408}" xr6:coauthVersionLast="47" xr6:coauthVersionMax="47" xr10:uidLastSave="{00000000-0000-0000-0000-000000000000}"/>
  <bookViews>
    <workbookView xWindow="810" yWindow="-120" windowWidth="28110" windowHeight="16440" firstSheet="1" activeTab="2" xr2:uid="{00000000-000D-0000-FFFF-FFFF00000000}"/>
  </bookViews>
  <sheets>
    <sheet name="Blank Monthly" sheetId="4" state="hidden" r:id="rId1"/>
    <sheet name="YTD CDJ" sheetId="16" r:id="rId2"/>
    <sheet name="01 - CDJ" sheetId="1" r:id="rId3"/>
    <sheet name="02 - CDJ" sheetId="18" r:id="rId4"/>
    <sheet name="03 - CDJ" sheetId="19" r:id="rId5"/>
    <sheet name="04 - CDJ" sheetId="20" r:id="rId6"/>
    <sheet name="05 - CDJ" sheetId="21" r:id="rId7"/>
    <sheet name="06 - CDJ" sheetId="22" r:id="rId8"/>
    <sheet name="07 - CDJ" sheetId="23" r:id="rId9"/>
    <sheet name="08 - CDJ" sheetId="24" r:id="rId10"/>
    <sheet name="09 - CDJ" sheetId="25" r:id="rId11"/>
    <sheet name="10 - CDJ" sheetId="26" r:id="rId12"/>
    <sheet name="11 - CDJ" sheetId="27" r:id="rId13"/>
    <sheet name="12 - CDJ" sheetId="28" r:id="rId14"/>
    <sheet name="Auto POSTS" sheetId="29" r:id="rId15"/>
  </sheets>
  <definedNames>
    <definedName name="_xlnm.Print_Titles" localSheetId="2">'01 - CDJ'!$A:$G,'01 - CDJ'!$1:$1</definedName>
    <definedName name="_xlnm.Print_Titles" localSheetId="3">'02 - CDJ'!$A:$G,'02 - CDJ'!$1:$1</definedName>
    <definedName name="_xlnm.Print_Titles" localSheetId="4">'03 - CDJ'!$A:$G,'03 - CDJ'!$1:$1</definedName>
    <definedName name="_xlnm.Print_Titles" localSheetId="5">'04 - CDJ'!$A:$G,'04 - CDJ'!$1:$1</definedName>
    <definedName name="_xlnm.Print_Titles" localSheetId="6">'05 - CDJ'!$A:$G,'05 - CDJ'!$1:$1</definedName>
    <definedName name="_xlnm.Print_Titles" localSheetId="7">'06 - CDJ'!$A:$G,'06 - CDJ'!$1:$1</definedName>
    <definedName name="_xlnm.Print_Titles" localSheetId="8">'07 - CDJ'!$A:$G,'07 - CDJ'!$1:$1</definedName>
    <definedName name="_xlnm.Print_Titles" localSheetId="9">'08 - CDJ'!$A:$G,'08 - CDJ'!$1:$1</definedName>
    <definedName name="_xlnm.Print_Titles" localSheetId="10">'09 - CDJ'!$A:$G,'09 - CDJ'!$1:$1</definedName>
    <definedName name="_xlnm.Print_Titles" localSheetId="11">'10 - CDJ'!$A:$G,'10 - CDJ'!$1:$1</definedName>
    <definedName name="_xlnm.Print_Titles" localSheetId="12">'11 - CDJ'!$A:$G,'11 - CDJ'!$1:$1</definedName>
    <definedName name="_xlnm.Print_Titles" localSheetId="13">'12 - CDJ'!$A:$G,'12 - CDJ'!$1:$1</definedName>
    <definedName name="_xlnm.Print_Titles" localSheetId="0">'Blank Monthly'!$A:$G,'Blank Monthly'!$1:$1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F5" i="27"/>
  <c r="F6" i="25"/>
  <c r="F23" i="21" l="1"/>
  <c r="F24" i="21"/>
  <c r="F22" i="21"/>
  <c r="F8" i="25"/>
  <c r="F8" i="26"/>
  <c r="F8" i="27"/>
  <c r="F8" i="28"/>
  <c r="F8" i="24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BF41" i="18"/>
  <c r="BF40" i="18"/>
  <c r="BF3" i="18" s="1"/>
  <c r="BF41" i="19"/>
  <c r="BF40" i="19"/>
  <c r="BF3" i="19" s="1"/>
  <c r="BF41" i="20"/>
  <c r="BF40" i="20"/>
  <c r="BF3" i="20" s="1"/>
  <c r="BF41" i="21"/>
  <c r="BF40" i="21"/>
  <c r="BF3" i="21"/>
  <c r="BF41" i="22"/>
  <c r="BF40" i="22"/>
  <c r="BF3" i="22" s="1"/>
  <c r="BF41" i="23"/>
  <c r="BF40" i="23"/>
  <c r="BF3" i="23" s="1"/>
  <c r="BF41" i="24"/>
  <c r="BF40" i="24"/>
  <c r="BF3" i="24" s="1"/>
  <c r="BF41" i="25"/>
  <c r="BF40" i="25"/>
  <c r="BF3" i="25" s="1"/>
  <c r="BF41" i="26"/>
  <c r="BF40" i="26"/>
  <c r="BF3" i="26" s="1"/>
  <c r="BF41" i="27"/>
  <c r="BF40" i="27"/>
  <c r="BF3" i="27" s="1"/>
  <c r="BF41" i="28"/>
  <c r="BF40" i="28"/>
  <c r="BF3" i="28" s="1"/>
  <c r="BF41" i="1"/>
  <c r="BF40" i="1"/>
  <c r="BF3" i="1"/>
  <c r="AX41" i="18"/>
  <c r="AX40" i="18"/>
  <c r="AX3" i="18" s="1"/>
  <c r="AX41" i="19"/>
  <c r="AX40" i="19"/>
  <c r="AX3" i="19" s="1"/>
  <c r="AX41" i="20"/>
  <c r="AX40" i="20"/>
  <c r="AX3" i="20" s="1"/>
  <c r="AX41" i="21"/>
  <c r="AX40" i="21"/>
  <c r="AX3" i="21" s="1"/>
  <c r="AX41" i="22"/>
  <c r="AX40" i="22"/>
  <c r="AX3" i="22" s="1"/>
  <c r="AX41" i="23"/>
  <c r="AX40" i="23"/>
  <c r="AX3" i="23" s="1"/>
  <c r="AX41" i="24"/>
  <c r="AX40" i="24"/>
  <c r="AX3" i="24" s="1"/>
  <c r="AX41" i="25"/>
  <c r="AX40" i="25"/>
  <c r="AX3" i="25" s="1"/>
  <c r="AX41" i="26"/>
  <c r="AX40" i="26"/>
  <c r="AX3" i="26" s="1"/>
  <c r="AX41" i="27"/>
  <c r="AX40" i="27"/>
  <c r="AX3" i="27" s="1"/>
  <c r="AX41" i="28"/>
  <c r="AX40" i="28"/>
  <c r="AX3" i="28" s="1"/>
  <c r="AX41" i="1"/>
  <c r="AX40" i="1"/>
  <c r="AX3" i="1" s="1"/>
  <c r="AW41" i="18"/>
  <c r="AW40" i="18"/>
  <c r="AW3" i="18" s="1"/>
  <c r="AW41" i="19"/>
  <c r="AW40" i="19"/>
  <c r="AW3" i="19" s="1"/>
  <c r="AW41" i="20"/>
  <c r="AW40" i="20"/>
  <c r="AW3" i="20" s="1"/>
  <c r="AW41" i="21"/>
  <c r="AW40" i="21"/>
  <c r="AW3" i="21" s="1"/>
  <c r="AW41" i="22"/>
  <c r="AW40" i="22"/>
  <c r="AW41" i="23"/>
  <c r="AW40" i="23"/>
  <c r="AW3" i="23" s="1"/>
  <c r="AW41" i="24"/>
  <c r="AW40" i="24"/>
  <c r="AW3" i="24" s="1"/>
  <c r="AW41" i="25"/>
  <c r="AW40" i="25"/>
  <c r="AW3" i="25" s="1"/>
  <c r="AW41" i="26"/>
  <c r="AW40" i="26"/>
  <c r="AW41" i="27"/>
  <c r="AW40" i="27"/>
  <c r="AW3" i="27" s="1"/>
  <c r="AW41" i="28"/>
  <c r="AW40" i="28"/>
  <c r="AW3" i="28" s="1"/>
  <c r="AW41" i="1"/>
  <c r="AW40" i="1"/>
  <c r="AW3" i="1" s="1"/>
  <c r="AW3" i="22"/>
  <c r="AW3" i="26"/>
  <c r="BE41" i="18"/>
  <c r="BE40" i="18"/>
  <c r="BE3" i="18" s="1"/>
  <c r="BE41" i="19"/>
  <c r="BE40" i="19"/>
  <c r="BE3" i="19" s="1"/>
  <c r="BE41" i="20"/>
  <c r="BE40" i="20"/>
  <c r="BE3" i="20" s="1"/>
  <c r="BE41" i="21"/>
  <c r="BE40" i="21"/>
  <c r="BE3" i="21" s="1"/>
  <c r="BE41" i="22"/>
  <c r="BE40" i="22"/>
  <c r="BE3" i="22" s="1"/>
  <c r="BE41" i="23"/>
  <c r="BE40" i="23"/>
  <c r="BE3" i="23" s="1"/>
  <c r="BE41" i="24"/>
  <c r="BE40" i="24"/>
  <c r="BE3" i="24" s="1"/>
  <c r="BE41" i="25"/>
  <c r="BE40" i="25"/>
  <c r="BE3" i="25" s="1"/>
  <c r="BE41" i="26"/>
  <c r="BE40" i="26"/>
  <c r="BE3" i="26" s="1"/>
  <c r="BE41" i="27"/>
  <c r="BE40" i="27"/>
  <c r="BE3" i="27" s="1"/>
  <c r="BE41" i="28"/>
  <c r="BE40" i="28"/>
  <c r="BE3" i="28" s="1"/>
  <c r="BE41" i="1"/>
  <c r="BE40" i="1"/>
  <c r="BE3" i="1"/>
  <c r="AV41" i="18"/>
  <c r="AV40" i="18"/>
  <c r="AV3" i="18" s="1"/>
  <c r="AV41" i="19"/>
  <c r="AV40" i="19"/>
  <c r="AV3" i="19" s="1"/>
  <c r="AV41" i="20"/>
  <c r="AV40" i="20"/>
  <c r="AV3" i="20" s="1"/>
  <c r="AV41" i="21"/>
  <c r="AV40" i="21"/>
  <c r="AV3" i="21" s="1"/>
  <c r="AV41" i="22"/>
  <c r="AV40" i="22"/>
  <c r="AV3" i="22" s="1"/>
  <c r="AV41" i="23"/>
  <c r="AV40" i="23"/>
  <c r="AV3" i="23" s="1"/>
  <c r="AV41" i="24"/>
  <c r="AV40" i="24"/>
  <c r="AV41" i="25"/>
  <c r="AV40" i="25"/>
  <c r="AV3" i="25" s="1"/>
  <c r="AV41" i="26"/>
  <c r="AV40" i="26"/>
  <c r="AV3" i="26" s="1"/>
  <c r="AV41" i="27"/>
  <c r="AV40" i="27"/>
  <c r="AV3" i="27" s="1"/>
  <c r="AV41" i="28"/>
  <c r="AV40" i="28"/>
  <c r="AV3" i="28" s="1"/>
  <c r="AV41" i="1"/>
  <c r="AV40" i="1"/>
  <c r="AV3" i="1" s="1"/>
  <c r="AV3" i="24"/>
  <c r="AU41" i="18"/>
  <c r="AU40" i="18"/>
  <c r="AU3" i="18" s="1"/>
  <c r="AU41" i="1"/>
  <c r="AU40" i="1"/>
  <c r="AU3" i="1" s="1"/>
  <c r="AU41" i="21"/>
  <c r="AU41" i="22"/>
  <c r="AU41" i="23"/>
  <c r="AU41" i="24"/>
  <c r="AU41" i="25"/>
  <c r="AU41" i="26"/>
  <c r="AU41" i="27"/>
  <c r="AU41" i="28"/>
  <c r="AU41" i="20"/>
  <c r="AU40" i="21"/>
  <c r="AU3" i="21" s="1"/>
  <c r="AU40" i="22"/>
  <c r="AU3" i="22" s="1"/>
  <c r="AU40" i="23"/>
  <c r="AU3" i="23" s="1"/>
  <c r="AU40" i="24"/>
  <c r="AU3" i="24" s="1"/>
  <c r="AU40" i="25"/>
  <c r="AU3" i="25" s="1"/>
  <c r="AU40" i="26"/>
  <c r="AU3" i="26" s="1"/>
  <c r="AU40" i="27"/>
  <c r="AU3" i="27" s="1"/>
  <c r="AU40" i="28"/>
  <c r="AU3" i="28" s="1"/>
  <c r="AU40" i="20"/>
  <c r="AU3" i="20" s="1"/>
  <c r="AU41" i="19"/>
  <c r="AU40" i="19"/>
  <c r="AU3" i="19" s="1"/>
  <c r="F9" i="28"/>
  <c r="F13" i="26"/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I40" i="18"/>
  <c r="I40" i="19"/>
  <c r="I40" i="20"/>
  <c r="I40" i="21"/>
  <c r="I40" i="22"/>
  <c r="I40" i="23"/>
  <c r="I40" i="24"/>
  <c r="I40" i="25"/>
  <c r="I40" i="26"/>
  <c r="I40" i="27"/>
  <c r="I40" i="28"/>
  <c r="I40" i="1"/>
  <c r="I41" i="18"/>
  <c r="I41" i="19"/>
  <c r="I41" i="20"/>
  <c r="I41" i="21"/>
  <c r="I41" i="22"/>
  <c r="I41" i="23"/>
  <c r="I41" i="24"/>
  <c r="I41" i="25"/>
  <c r="I41" i="26"/>
  <c r="I41" i="27"/>
  <c r="I41" i="28"/>
  <c r="I41" i="1"/>
  <c r="I3" i="18"/>
  <c r="I4" i="16" s="1"/>
  <c r="I3" i="19"/>
  <c r="I5" i="16" s="1"/>
  <c r="I3" i="20"/>
  <c r="I6" i="16" s="1"/>
  <c r="I3" i="21"/>
  <c r="I7" i="16" s="1"/>
  <c r="I3" i="22"/>
  <c r="I8" i="16" s="1"/>
  <c r="I3" i="23"/>
  <c r="I9" i="16" s="1"/>
  <c r="I3" i="24"/>
  <c r="I10" i="16" s="1"/>
  <c r="I3" i="25"/>
  <c r="I11" i="16" s="1"/>
  <c r="I3" i="26"/>
  <c r="I12" i="16" s="1"/>
  <c r="I3" i="27"/>
  <c r="I13" i="16" s="1"/>
  <c r="I3" i="28"/>
  <c r="I14" i="16" s="1"/>
  <c r="I3" i="1"/>
  <c r="I3" i="16" s="1"/>
  <c r="I15" i="16" l="1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7" i="24"/>
  <c r="F6" i="24"/>
  <c r="F5" i="24"/>
  <c r="F4" i="24"/>
  <c r="F17" i="22"/>
  <c r="F16" i="22"/>
  <c r="F15" i="22"/>
  <c r="F14" i="22"/>
  <c r="F13" i="22"/>
  <c r="F12" i="22"/>
  <c r="G4" i="16"/>
  <c r="G14" i="16"/>
  <c r="G13" i="16"/>
  <c r="G12" i="16"/>
  <c r="G11" i="16"/>
  <c r="G10" i="16"/>
  <c r="G9" i="16"/>
  <c r="G8" i="16"/>
  <c r="G7" i="16"/>
  <c r="G6" i="16"/>
  <c r="G5" i="16"/>
  <c r="G3" i="16"/>
  <c r="AZ2" i="16"/>
  <c r="AX2" i="16"/>
  <c r="AW2" i="16"/>
  <c r="AV2" i="16"/>
  <c r="AU2" i="16"/>
  <c r="AR2" i="16"/>
  <c r="AQ2" i="16"/>
  <c r="AP2" i="16"/>
  <c r="AO2" i="16"/>
  <c r="AN2" i="16"/>
  <c r="F6" i="28"/>
  <c r="F7" i="28"/>
  <c r="J3" i="18"/>
  <c r="H4" i="16" s="1"/>
  <c r="G15" i="16" l="1"/>
  <c r="J3" i="19"/>
  <c r="H5" i="16" s="1"/>
  <c r="J3" i="20"/>
  <c r="H6" i="16" s="1"/>
  <c r="J3" i="21"/>
  <c r="H7" i="16" s="1"/>
  <c r="J3" i="22"/>
  <c r="H8" i="16" s="1"/>
  <c r="J3" i="23"/>
  <c r="H9" i="16" s="1"/>
  <c r="J3" i="24"/>
  <c r="H10" i="16" s="1"/>
  <c r="J3" i="25"/>
  <c r="H11" i="16" s="1"/>
  <c r="J3" i="26"/>
  <c r="H12" i="16" s="1"/>
  <c r="J3" i="27"/>
  <c r="H13" i="16" s="1"/>
  <c r="J3" i="28"/>
  <c r="H14" i="16" s="1"/>
  <c r="J3" i="1"/>
  <c r="H3" i="16" s="1"/>
  <c r="L3" i="18"/>
  <c r="J4" i="16" s="1"/>
  <c r="L3" i="19"/>
  <c r="J5" i="16" s="1"/>
  <c r="L3" i="20"/>
  <c r="J6" i="16" s="1"/>
  <c r="L3" i="21"/>
  <c r="J7" i="16" s="1"/>
  <c r="L3" i="22"/>
  <c r="J8" i="16" s="1"/>
  <c r="L3" i="23"/>
  <c r="J9" i="16" s="1"/>
  <c r="L3" i="24"/>
  <c r="J10" i="16" s="1"/>
  <c r="L3" i="25"/>
  <c r="J11" i="16" s="1"/>
  <c r="L3" i="26"/>
  <c r="J12" i="16" s="1"/>
  <c r="L3" i="27"/>
  <c r="J13" i="16" s="1"/>
  <c r="L3" i="28"/>
  <c r="J14" i="16" s="1"/>
  <c r="L3" i="1"/>
  <c r="J3" i="16" s="1"/>
  <c r="AT41" i="18"/>
  <c r="AS41" i="18"/>
  <c r="AT40" i="18"/>
  <c r="AS40" i="18"/>
  <c r="AT41" i="19"/>
  <c r="AS41" i="19"/>
  <c r="AT40" i="19"/>
  <c r="AT5" i="16" s="1"/>
  <c r="AS40" i="19"/>
  <c r="AS5" i="16" s="1"/>
  <c r="AT41" i="20"/>
  <c r="AS41" i="20"/>
  <c r="AT40" i="20"/>
  <c r="AT6" i="16" s="1"/>
  <c r="AS40" i="20"/>
  <c r="AT41" i="21"/>
  <c r="AS41" i="21"/>
  <c r="AT40" i="21"/>
  <c r="AT7" i="16" s="1"/>
  <c r="AS40" i="21"/>
  <c r="AS7" i="16" s="1"/>
  <c r="AT41" i="22"/>
  <c r="AS41" i="22"/>
  <c r="AT40" i="22"/>
  <c r="AS40" i="22"/>
  <c r="AT41" i="23"/>
  <c r="AS41" i="23"/>
  <c r="AT40" i="23"/>
  <c r="AS40" i="23"/>
  <c r="AS9" i="16" s="1"/>
  <c r="AT41" i="24"/>
  <c r="AS41" i="24"/>
  <c r="AT40" i="24"/>
  <c r="AS40" i="24"/>
  <c r="AT41" i="25"/>
  <c r="AS41" i="25"/>
  <c r="AT40" i="25"/>
  <c r="AT11" i="16" s="1"/>
  <c r="AS40" i="25"/>
  <c r="AS11" i="16" s="1"/>
  <c r="AT41" i="26"/>
  <c r="AS41" i="26"/>
  <c r="AT40" i="26"/>
  <c r="AS40" i="26"/>
  <c r="AT41" i="27"/>
  <c r="AS41" i="27"/>
  <c r="AT40" i="27"/>
  <c r="AS40" i="27"/>
  <c r="AS13" i="16" s="1"/>
  <c r="AT41" i="28"/>
  <c r="AS41" i="28"/>
  <c r="AT40" i="28"/>
  <c r="AS40" i="28"/>
  <c r="AT41" i="1"/>
  <c r="AS41" i="1"/>
  <c r="AT40" i="1"/>
  <c r="AS40" i="1"/>
  <c r="AS3" i="16" s="1"/>
  <c r="L40" i="18"/>
  <c r="L40" i="19"/>
  <c r="L40" i="20"/>
  <c r="L40" i="21"/>
  <c r="L40" i="22"/>
  <c r="L40" i="23"/>
  <c r="L40" i="24"/>
  <c r="L40" i="25"/>
  <c r="L40" i="26"/>
  <c r="L40" i="27"/>
  <c r="L40" i="28"/>
  <c r="L40" i="1"/>
  <c r="M41" i="18"/>
  <c r="L41" i="18"/>
  <c r="M41" i="19"/>
  <c r="L41" i="19"/>
  <c r="M41" i="20"/>
  <c r="L41" i="20"/>
  <c r="M41" i="21"/>
  <c r="L41" i="21"/>
  <c r="M41" i="22"/>
  <c r="L41" i="22"/>
  <c r="M41" i="23"/>
  <c r="L41" i="23"/>
  <c r="M41" i="24"/>
  <c r="L41" i="24"/>
  <c r="M41" i="25"/>
  <c r="L41" i="25"/>
  <c r="M41" i="26"/>
  <c r="L41" i="26"/>
  <c r="M41" i="27"/>
  <c r="L41" i="27"/>
  <c r="M41" i="28"/>
  <c r="L41" i="28"/>
  <c r="M41" i="1"/>
  <c r="L41" i="1"/>
  <c r="E40" i="1"/>
  <c r="B3" i="16" s="1"/>
  <c r="P2" i="16"/>
  <c r="G41" i="1"/>
  <c r="G41" i="19"/>
  <c r="G41" i="20"/>
  <c r="G41" i="21"/>
  <c r="G41" i="22"/>
  <c r="G41" i="23"/>
  <c r="G41" i="24"/>
  <c r="G41" i="25"/>
  <c r="G41" i="26"/>
  <c r="G41" i="27"/>
  <c r="G41" i="28"/>
  <c r="G41" i="18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O2" i="16"/>
  <c r="N2" i="16"/>
  <c r="AS3" i="27" l="1"/>
  <c r="AS3" i="28"/>
  <c r="AS14" i="16"/>
  <c r="AT3" i="28"/>
  <c r="AT14" i="16"/>
  <c r="AT3" i="27"/>
  <c r="AT13" i="16"/>
  <c r="AS3" i="26"/>
  <c r="AS12" i="16"/>
  <c r="AT3" i="26"/>
  <c r="AT12" i="16"/>
  <c r="AS3" i="25"/>
  <c r="AT3" i="25"/>
  <c r="AS3" i="24"/>
  <c r="AS10" i="16"/>
  <c r="AT3" i="24"/>
  <c r="AT10" i="16"/>
  <c r="AS3" i="23"/>
  <c r="AT3" i="23"/>
  <c r="AS3" i="22"/>
  <c r="AS8" i="16"/>
  <c r="AT3" i="22"/>
  <c r="AT8" i="16"/>
  <c r="AS3" i="21"/>
  <c r="AT3" i="21"/>
  <c r="AS3" i="20"/>
  <c r="AS6" i="16"/>
  <c r="AT3" i="20"/>
  <c r="AS3" i="19"/>
  <c r="AT3" i="19"/>
  <c r="AS3" i="18"/>
  <c r="AS4" i="16"/>
  <c r="AT3" i="18"/>
  <c r="AT4" i="16"/>
  <c r="AS3" i="1"/>
  <c r="AT3" i="1"/>
  <c r="AT3" i="16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BD41" i="28"/>
  <c r="BC41" i="28"/>
  <c r="AR41" i="28"/>
  <c r="AQ41" i="28"/>
  <c r="AP41" i="28"/>
  <c r="AO41" i="28"/>
  <c r="AN41" i="28"/>
  <c r="AM41" i="28"/>
  <c r="BB41" i="28"/>
  <c r="BA41" i="28"/>
  <c r="AL41" i="28"/>
  <c r="AK41" i="28"/>
  <c r="AJ41" i="28"/>
  <c r="AZ41" i="28"/>
  <c r="AI41" i="28"/>
  <c r="AH41" i="28"/>
  <c r="AG41" i="28"/>
  <c r="AF41" i="28"/>
  <c r="AE41" i="28"/>
  <c r="AD41" i="28"/>
  <c r="AC41" i="28"/>
  <c r="AB41" i="28"/>
  <c r="AA41" i="28"/>
  <c r="Z41" i="28"/>
  <c r="Y41" i="28"/>
  <c r="X41" i="28"/>
  <c r="W41" i="28"/>
  <c r="V41" i="28"/>
  <c r="U41" i="28"/>
  <c r="AY41" i="28"/>
  <c r="T41" i="28"/>
  <c r="S41" i="28"/>
  <c r="R41" i="28"/>
  <c r="Q41" i="28"/>
  <c r="P41" i="28"/>
  <c r="O41" i="28"/>
  <c r="N41" i="28"/>
  <c r="K41" i="28"/>
  <c r="J41" i="28"/>
  <c r="H41" i="28"/>
  <c r="BD40" i="28"/>
  <c r="BC40" i="28"/>
  <c r="AR40" i="28"/>
  <c r="AQ40" i="28"/>
  <c r="AP40" i="28"/>
  <c r="AO40" i="28"/>
  <c r="AN40" i="28"/>
  <c r="AN14" i="16" s="1"/>
  <c r="AM40" i="28"/>
  <c r="AM14" i="16" s="1"/>
  <c r="BB40" i="28"/>
  <c r="AX14" i="16" s="1"/>
  <c r="BA40" i="28"/>
  <c r="AL40" i="28"/>
  <c r="AL3" i="28" s="1"/>
  <c r="AK40" i="28"/>
  <c r="AJ40" i="28"/>
  <c r="AJ14" i="16" s="1"/>
  <c r="AZ40" i="28"/>
  <c r="AI40" i="28"/>
  <c r="AH40" i="28"/>
  <c r="AG40" i="28"/>
  <c r="AF40" i="28"/>
  <c r="AF3" i="28" s="1"/>
  <c r="AE40" i="28"/>
  <c r="AD40" i="28"/>
  <c r="AC40" i="28"/>
  <c r="AB40" i="28"/>
  <c r="AA40" i="28"/>
  <c r="AA14" i="16" s="1"/>
  <c r="Z40" i="28"/>
  <c r="Y40" i="28"/>
  <c r="Y14" i="16" s="1"/>
  <c r="X40" i="28"/>
  <c r="X3" i="28" s="1"/>
  <c r="W40" i="28"/>
  <c r="W14" i="16" s="1"/>
  <c r="V40" i="28"/>
  <c r="U40" i="28"/>
  <c r="AY40" i="28"/>
  <c r="T40" i="28"/>
  <c r="S40" i="28"/>
  <c r="S14" i="16" s="1"/>
  <c r="R40" i="28"/>
  <c r="R14" i="16" s="1"/>
  <c r="Q40" i="28"/>
  <c r="Q3" i="28" s="1"/>
  <c r="P40" i="28"/>
  <c r="P14" i="16" s="1"/>
  <c r="O40" i="28"/>
  <c r="N40" i="28"/>
  <c r="N14" i="16" s="1"/>
  <c r="J40" i="28"/>
  <c r="D48" i="28" s="1"/>
  <c r="E40" i="28"/>
  <c r="B14" i="16" s="1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5" i="28"/>
  <c r="F4" i="28"/>
  <c r="AN3" i="28"/>
  <c r="BD41" i="27"/>
  <c r="BC41" i="27"/>
  <c r="AR41" i="27"/>
  <c r="AQ41" i="27"/>
  <c r="AP41" i="27"/>
  <c r="AO41" i="27"/>
  <c r="AN41" i="27"/>
  <c r="AM41" i="27"/>
  <c r="BB41" i="27"/>
  <c r="BA41" i="27"/>
  <c r="AL41" i="27"/>
  <c r="AK41" i="27"/>
  <c r="AJ41" i="27"/>
  <c r="AZ41" i="27"/>
  <c r="AI41" i="27"/>
  <c r="AH41" i="27"/>
  <c r="AG41" i="27"/>
  <c r="AF41" i="27"/>
  <c r="AE41" i="27"/>
  <c r="AD41" i="27"/>
  <c r="AC41" i="27"/>
  <c r="AB41" i="27"/>
  <c r="AA41" i="27"/>
  <c r="Z41" i="27"/>
  <c r="Y41" i="27"/>
  <c r="X41" i="27"/>
  <c r="W41" i="27"/>
  <c r="V41" i="27"/>
  <c r="U41" i="27"/>
  <c r="AY41" i="27"/>
  <c r="T41" i="27"/>
  <c r="S41" i="27"/>
  <c r="R41" i="27"/>
  <c r="Q41" i="27"/>
  <c r="P41" i="27"/>
  <c r="O41" i="27"/>
  <c r="N41" i="27"/>
  <c r="K41" i="27"/>
  <c r="J41" i="27"/>
  <c r="H41" i="27"/>
  <c r="BD40" i="27"/>
  <c r="AZ13" i="16" s="1"/>
  <c r="BC40" i="27"/>
  <c r="AR40" i="27"/>
  <c r="AQ40" i="27"/>
  <c r="AP40" i="27"/>
  <c r="AO40" i="27"/>
  <c r="AN40" i="27"/>
  <c r="AM40" i="27"/>
  <c r="AM3" i="27" s="1"/>
  <c r="BB40" i="27"/>
  <c r="AX13" i="16" s="1"/>
  <c r="BA40" i="27"/>
  <c r="AW13" i="16" s="1"/>
  <c r="AL40" i="27"/>
  <c r="AL13" i="16" s="1"/>
  <c r="AK40" i="27"/>
  <c r="AK13" i="16" s="1"/>
  <c r="AJ40" i="27"/>
  <c r="AZ40" i="27"/>
  <c r="AI40" i="27"/>
  <c r="AH40" i="27"/>
  <c r="AH3" i="27" s="1"/>
  <c r="AG40" i="27"/>
  <c r="AF40" i="27"/>
  <c r="AE40" i="27"/>
  <c r="AD40" i="27"/>
  <c r="AD13" i="16" s="1"/>
  <c r="AC40" i="27"/>
  <c r="AC13" i="16" s="1"/>
  <c r="AB40" i="27"/>
  <c r="AA40" i="27"/>
  <c r="Z40" i="27"/>
  <c r="Z3" i="27" s="1"/>
  <c r="Y40" i="27"/>
  <c r="Y13" i="16" s="1"/>
  <c r="X40" i="27"/>
  <c r="W40" i="27"/>
  <c r="V40" i="27"/>
  <c r="U40" i="27"/>
  <c r="AY40" i="27"/>
  <c r="T40" i="27"/>
  <c r="T3" i="27" s="1"/>
  <c r="S40" i="27"/>
  <c r="S3" i="27" s="1"/>
  <c r="R40" i="27"/>
  <c r="R13" i="16" s="1"/>
  <c r="Q40" i="27"/>
  <c r="P40" i="27"/>
  <c r="O40" i="27"/>
  <c r="N40" i="27"/>
  <c r="J40" i="27"/>
  <c r="D48" i="27" s="1"/>
  <c r="E40" i="27"/>
  <c r="B13" i="16" s="1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7" i="27"/>
  <c r="F6" i="27"/>
  <c r="F4" i="27"/>
  <c r="BD41" i="26"/>
  <c r="BC41" i="26"/>
  <c r="AR41" i="26"/>
  <c r="AQ41" i="26"/>
  <c r="AP41" i="26"/>
  <c r="AO41" i="26"/>
  <c r="AN41" i="26"/>
  <c r="AM41" i="26"/>
  <c r="BB41" i="26"/>
  <c r="BA41" i="26"/>
  <c r="AL41" i="26"/>
  <c r="AK41" i="26"/>
  <c r="AJ41" i="26"/>
  <c r="AZ41" i="26"/>
  <c r="AI41" i="26"/>
  <c r="AH41" i="26"/>
  <c r="AG41" i="26"/>
  <c r="AF41" i="26"/>
  <c r="AE41" i="26"/>
  <c r="AD41" i="26"/>
  <c r="AC41" i="26"/>
  <c r="AB41" i="26"/>
  <c r="AA41" i="26"/>
  <c r="Z41" i="26"/>
  <c r="Y41" i="26"/>
  <c r="X41" i="26"/>
  <c r="W41" i="26"/>
  <c r="V41" i="26"/>
  <c r="U41" i="26"/>
  <c r="AY41" i="26"/>
  <c r="T41" i="26"/>
  <c r="S41" i="26"/>
  <c r="R41" i="26"/>
  <c r="Q41" i="26"/>
  <c r="P41" i="26"/>
  <c r="O41" i="26"/>
  <c r="N41" i="26"/>
  <c r="K41" i="26"/>
  <c r="J41" i="26"/>
  <c r="H41" i="26"/>
  <c r="BD40" i="26"/>
  <c r="BC40" i="26"/>
  <c r="AR40" i="26"/>
  <c r="AQ40" i="26"/>
  <c r="AQ12" i="16" s="1"/>
  <c r="AP40" i="26"/>
  <c r="AO40" i="26"/>
  <c r="AN40" i="26"/>
  <c r="AM40" i="26"/>
  <c r="AM3" i="26" s="1"/>
  <c r="BB40" i="26"/>
  <c r="BA40" i="26"/>
  <c r="AL40" i="26"/>
  <c r="AK40" i="26"/>
  <c r="AK12" i="16" s="1"/>
  <c r="AJ40" i="26"/>
  <c r="AZ40" i="26"/>
  <c r="AI40" i="26"/>
  <c r="AH40" i="26"/>
  <c r="AH3" i="26" s="1"/>
  <c r="AG40" i="26"/>
  <c r="AF40" i="26"/>
  <c r="AF3" i="26" s="1"/>
  <c r="AE40" i="26"/>
  <c r="AD40" i="26"/>
  <c r="AD3" i="26" s="1"/>
  <c r="AC40" i="26"/>
  <c r="AC12" i="16" s="1"/>
  <c r="AB40" i="26"/>
  <c r="AB12" i="16" s="1"/>
  <c r="AA40" i="26"/>
  <c r="Z40" i="26"/>
  <c r="Z3" i="26" s="1"/>
  <c r="Y40" i="26"/>
  <c r="Y12" i="16" s="1"/>
  <c r="X40" i="26"/>
  <c r="X3" i="26" s="1"/>
  <c r="W40" i="26"/>
  <c r="V40" i="26"/>
  <c r="V3" i="26" s="1"/>
  <c r="U40" i="26"/>
  <c r="AY40" i="26"/>
  <c r="T40" i="26"/>
  <c r="S40" i="26"/>
  <c r="S3" i="26" s="1"/>
  <c r="R40" i="26"/>
  <c r="R12" i="16" s="1"/>
  <c r="Q40" i="26"/>
  <c r="Q3" i="26" s="1"/>
  <c r="P40" i="26"/>
  <c r="O40" i="26"/>
  <c r="N40" i="26"/>
  <c r="N12" i="16" s="1"/>
  <c r="J40" i="26"/>
  <c r="D48" i="26" s="1"/>
  <c r="E40" i="26"/>
  <c r="B12" i="16" s="1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2" i="26"/>
  <c r="F11" i="26"/>
  <c r="F10" i="26"/>
  <c r="F9" i="26"/>
  <c r="F7" i="26"/>
  <c r="F6" i="26"/>
  <c r="F5" i="26"/>
  <c r="F4" i="26"/>
  <c r="BD41" i="25"/>
  <c r="BC41" i="25"/>
  <c r="AR41" i="25"/>
  <c r="AQ41" i="25"/>
  <c r="AP41" i="25"/>
  <c r="AO41" i="25"/>
  <c r="AN41" i="25"/>
  <c r="AM41" i="25"/>
  <c r="BB41" i="25"/>
  <c r="BA41" i="25"/>
  <c r="AL41" i="25"/>
  <c r="AK41" i="25"/>
  <c r="AJ41" i="25"/>
  <c r="AZ41" i="25"/>
  <c r="AI41" i="25"/>
  <c r="AH41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U41" i="25"/>
  <c r="AY41" i="25"/>
  <c r="T41" i="25"/>
  <c r="S41" i="25"/>
  <c r="R41" i="25"/>
  <c r="Q41" i="25"/>
  <c r="P41" i="25"/>
  <c r="O41" i="25"/>
  <c r="N41" i="25"/>
  <c r="K41" i="25"/>
  <c r="J41" i="25"/>
  <c r="H41" i="25"/>
  <c r="BD40" i="25"/>
  <c r="BC40" i="25"/>
  <c r="AR40" i="25"/>
  <c r="AQ40" i="25"/>
  <c r="AP40" i="25"/>
  <c r="AO40" i="25"/>
  <c r="AN40" i="25"/>
  <c r="AM40" i="25"/>
  <c r="AM3" i="25" s="1"/>
  <c r="BB40" i="25"/>
  <c r="BA40" i="25"/>
  <c r="AW11" i="16" s="1"/>
  <c r="AL40" i="25"/>
  <c r="AK40" i="25"/>
  <c r="AK11" i="16" s="1"/>
  <c r="AJ40" i="25"/>
  <c r="AZ40" i="25"/>
  <c r="AI40" i="25"/>
  <c r="AH40" i="25"/>
  <c r="AH3" i="25" s="1"/>
  <c r="AG40" i="25"/>
  <c r="AF40" i="25"/>
  <c r="AE40" i="25"/>
  <c r="AD40" i="25"/>
  <c r="AD11" i="16" s="1"/>
  <c r="AC40" i="25"/>
  <c r="AB40" i="25"/>
  <c r="AB3" i="25" s="1"/>
  <c r="AA40" i="25"/>
  <c r="AA11" i="16" s="1"/>
  <c r="Z40" i="25"/>
  <c r="Z3" i="25" s="1"/>
  <c r="Y40" i="25"/>
  <c r="X40" i="25"/>
  <c r="X3" i="25" s="1"/>
  <c r="W40" i="25"/>
  <c r="V40" i="25"/>
  <c r="U40" i="25"/>
  <c r="U11" i="16" s="1"/>
  <c r="AY40" i="25"/>
  <c r="T40" i="25"/>
  <c r="S40" i="25"/>
  <c r="S3" i="25" s="1"/>
  <c r="R40" i="25"/>
  <c r="R11" i="16" s="1"/>
  <c r="Q40" i="25"/>
  <c r="Q11" i="16" s="1"/>
  <c r="P40" i="25"/>
  <c r="O40" i="25"/>
  <c r="N40" i="25"/>
  <c r="N11" i="16" s="1"/>
  <c r="J40" i="25"/>
  <c r="D48" i="25" s="1"/>
  <c r="E40" i="25"/>
  <c r="B11" i="16" s="1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7" i="25"/>
  <c r="F5" i="25"/>
  <c r="F4" i="25"/>
  <c r="BD41" i="24"/>
  <c r="BC41" i="24"/>
  <c r="AR41" i="24"/>
  <c r="AQ41" i="24"/>
  <c r="AP41" i="24"/>
  <c r="AO41" i="24"/>
  <c r="AN41" i="24"/>
  <c r="AM41" i="24"/>
  <c r="BB41" i="24"/>
  <c r="BA41" i="24"/>
  <c r="AL41" i="24"/>
  <c r="AK41" i="24"/>
  <c r="AJ41" i="24"/>
  <c r="AZ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AY41" i="24"/>
  <c r="T41" i="24"/>
  <c r="S41" i="24"/>
  <c r="R41" i="24"/>
  <c r="Q41" i="24"/>
  <c r="P41" i="24"/>
  <c r="O41" i="24"/>
  <c r="N41" i="24"/>
  <c r="K41" i="24"/>
  <c r="J41" i="24"/>
  <c r="H41" i="24"/>
  <c r="BD40" i="24"/>
  <c r="BC40" i="24"/>
  <c r="AR40" i="24"/>
  <c r="AQ40" i="24"/>
  <c r="AP40" i="24"/>
  <c r="AO40" i="24"/>
  <c r="AN40" i="24"/>
  <c r="AM40" i="24"/>
  <c r="BB40" i="24"/>
  <c r="AX10" i="16" s="1"/>
  <c r="BA40" i="24"/>
  <c r="AL40" i="24"/>
  <c r="AK40" i="24"/>
  <c r="AJ40" i="24"/>
  <c r="AJ10" i="16" s="1"/>
  <c r="AZ40" i="24"/>
  <c r="AI40" i="24"/>
  <c r="AI10" i="16" s="1"/>
  <c r="AH40" i="24"/>
  <c r="AG40" i="24"/>
  <c r="AF40" i="24"/>
  <c r="AF3" i="24" s="1"/>
  <c r="AE40" i="24"/>
  <c r="AE10" i="16" s="1"/>
  <c r="AD40" i="24"/>
  <c r="AD3" i="24" s="1"/>
  <c r="AC40" i="24"/>
  <c r="AB40" i="24"/>
  <c r="AA40" i="24"/>
  <c r="AA10" i="16" s="1"/>
  <c r="Z40" i="24"/>
  <c r="Y40" i="24"/>
  <c r="X40" i="24"/>
  <c r="X3" i="24" s="1"/>
  <c r="W40" i="24"/>
  <c r="W10" i="16" s="1"/>
  <c r="V40" i="24"/>
  <c r="V10" i="16" s="1"/>
  <c r="U40" i="24"/>
  <c r="U10" i="16" s="1"/>
  <c r="AY40" i="24"/>
  <c r="T40" i="24"/>
  <c r="S40" i="24"/>
  <c r="R40" i="24"/>
  <c r="Q40" i="24"/>
  <c r="Q3" i="24" s="1"/>
  <c r="P40" i="24"/>
  <c r="P10" i="16" s="1"/>
  <c r="O40" i="24"/>
  <c r="N40" i="24"/>
  <c r="N3" i="24" s="1"/>
  <c r="J40" i="24"/>
  <c r="D48" i="24" s="1"/>
  <c r="E40" i="24"/>
  <c r="B10" i="16" s="1"/>
  <c r="BD41" i="23"/>
  <c r="BC41" i="23"/>
  <c r="AR41" i="23"/>
  <c r="AQ41" i="23"/>
  <c r="AP41" i="23"/>
  <c r="AO41" i="23"/>
  <c r="AN41" i="23"/>
  <c r="AM41" i="23"/>
  <c r="BB41" i="23"/>
  <c r="BA41" i="23"/>
  <c r="AL41" i="23"/>
  <c r="AK41" i="23"/>
  <c r="AJ41" i="23"/>
  <c r="AZ41" i="23"/>
  <c r="AI41" i="23"/>
  <c r="AH41" i="23"/>
  <c r="AG41" i="23"/>
  <c r="AF41" i="23"/>
  <c r="AE41" i="23"/>
  <c r="AD41" i="23"/>
  <c r="AC41" i="23"/>
  <c r="AB41" i="23"/>
  <c r="AA41" i="23"/>
  <c r="Z41" i="23"/>
  <c r="Y41" i="23"/>
  <c r="X41" i="23"/>
  <c r="W41" i="23"/>
  <c r="V41" i="23"/>
  <c r="U41" i="23"/>
  <c r="AY41" i="23"/>
  <c r="T41" i="23"/>
  <c r="S41" i="23"/>
  <c r="R41" i="23"/>
  <c r="Q41" i="23"/>
  <c r="P41" i="23"/>
  <c r="O41" i="23"/>
  <c r="N41" i="23"/>
  <c r="K41" i="23"/>
  <c r="J41" i="23"/>
  <c r="H41" i="23"/>
  <c r="BD40" i="23"/>
  <c r="BC40" i="23"/>
  <c r="AR40" i="23"/>
  <c r="AQ40" i="23"/>
  <c r="AP40" i="23"/>
  <c r="AO40" i="23"/>
  <c r="AN40" i="23"/>
  <c r="AM40" i="23"/>
  <c r="BB40" i="23"/>
  <c r="AX9" i="16" s="1"/>
  <c r="BA40" i="23"/>
  <c r="AW9" i="16" s="1"/>
  <c r="AL40" i="23"/>
  <c r="AK40" i="23"/>
  <c r="AJ40" i="23"/>
  <c r="AZ40" i="23"/>
  <c r="AI40" i="23"/>
  <c r="AI3" i="23" s="1"/>
  <c r="AH40" i="23"/>
  <c r="AG40" i="23"/>
  <c r="AG3" i="23" s="1"/>
  <c r="AF40" i="23"/>
  <c r="AE40" i="23"/>
  <c r="AE3" i="23" s="1"/>
  <c r="AD40" i="23"/>
  <c r="AC40" i="23"/>
  <c r="AB40" i="23"/>
  <c r="AA40" i="23"/>
  <c r="AA3" i="23" s="1"/>
  <c r="Z40" i="23"/>
  <c r="Y40" i="23"/>
  <c r="X40" i="23"/>
  <c r="W40" i="23"/>
  <c r="W9" i="16" s="1"/>
  <c r="V40" i="23"/>
  <c r="U40" i="23"/>
  <c r="AY40" i="23"/>
  <c r="T40" i="23"/>
  <c r="T3" i="23" s="1"/>
  <c r="S40" i="23"/>
  <c r="R40" i="23"/>
  <c r="R9" i="16" s="1"/>
  <c r="Q40" i="23"/>
  <c r="Q9" i="16" s="1"/>
  <c r="P40" i="23"/>
  <c r="O40" i="23"/>
  <c r="N40" i="23"/>
  <c r="J40" i="23"/>
  <c r="D48" i="23" s="1"/>
  <c r="E40" i="23"/>
  <c r="B9" i="16" s="1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BD41" i="22"/>
  <c r="BC41" i="22"/>
  <c r="AR41" i="22"/>
  <c r="AQ41" i="22"/>
  <c r="AP41" i="22"/>
  <c r="AO41" i="22"/>
  <c r="AN41" i="22"/>
  <c r="AM41" i="22"/>
  <c r="BB41" i="22"/>
  <c r="BA41" i="22"/>
  <c r="AL41" i="22"/>
  <c r="AK41" i="22"/>
  <c r="AJ41" i="22"/>
  <c r="AZ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AY41" i="22"/>
  <c r="T41" i="22"/>
  <c r="S41" i="22"/>
  <c r="R41" i="22"/>
  <c r="Q41" i="22"/>
  <c r="P41" i="22"/>
  <c r="O41" i="22"/>
  <c r="N41" i="22"/>
  <c r="K41" i="22"/>
  <c r="J41" i="22"/>
  <c r="H41" i="22"/>
  <c r="BD40" i="22"/>
  <c r="BC40" i="22"/>
  <c r="AR40" i="22"/>
  <c r="AQ40" i="22"/>
  <c r="AP40" i="22"/>
  <c r="AO40" i="22"/>
  <c r="AN40" i="22"/>
  <c r="AM40" i="22"/>
  <c r="AM8" i="16" s="1"/>
  <c r="BB40" i="22"/>
  <c r="BA40" i="22"/>
  <c r="AW8" i="16" s="1"/>
  <c r="AL40" i="22"/>
  <c r="AK40" i="22"/>
  <c r="AK3" i="22" s="1"/>
  <c r="AJ40" i="22"/>
  <c r="AJ8" i="16" s="1"/>
  <c r="AZ40" i="22"/>
  <c r="AI40" i="22"/>
  <c r="AH40" i="22"/>
  <c r="AH8" i="16" s="1"/>
  <c r="AG40" i="22"/>
  <c r="AF40" i="22"/>
  <c r="AF8" i="16" s="1"/>
  <c r="AE40" i="22"/>
  <c r="AD40" i="22"/>
  <c r="AC40" i="22"/>
  <c r="AC8" i="16" s="1"/>
  <c r="AB40" i="22"/>
  <c r="AB8" i="16" s="1"/>
  <c r="AA40" i="22"/>
  <c r="Z40" i="22"/>
  <c r="Z8" i="16" s="1"/>
  <c r="Y40" i="22"/>
  <c r="X40" i="22"/>
  <c r="X3" i="22" s="1"/>
  <c r="W40" i="22"/>
  <c r="V40" i="22"/>
  <c r="U40" i="22"/>
  <c r="AY40" i="22"/>
  <c r="T40" i="22"/>
  <c r="S40" i="22"/>
  <c r="S3" i="22" s="1"/>
  <c r="R40" i="22"/>
  <c r="Q40" i="22"/>
  <c r="P40" i="22"/>
  <c r="O40" i="22"/>
  <c r="N40" i="22"/>
  <c r="J40" i="22"/>
  <c r="D48" i="22" s="1"/>
  <c r="E40" i="22"/>
  <c r="B8" i="16" s="1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1" i="22"/>
  <c r="F10" i="22"/>
  <c r="F9" i="22"/>
  <c r="F8" i="22"/>
  <c r="F7" i="22"/>
  <c r="F6" i="22"/>
  <c r="F5" i="22"/>
  <c r="F4" i="22"/>
  <c r="BD41" i="21"/>
  <c r="BC41" i="21"/>
  <c r="AR41" i="21"/>
  <c r="AQ41" i="21"/>
  <c r="AP41" i="21"/>
  <c r="AO41" i="21"/>
  <c r="AN41" i="21"/>
  <c r="AM41" i="21"/>
  <c r="BB41" i="21"/>
  <c r="BA41" i="21"/>
  <c r="AL41" i="21"/>
  <c r="AK41" i="21"/>
  <c r="AJ41" i="21"/>
  <c r="AZ41" i="21"/>
  <c r="AI41" i="21"/>
  <c r="AH41" i="21"/>
  <c r="AG41" i="21"/>
  <c r="AF41" i="21"/>
  <c r="AE41" i="21"/>
  <c r="AD41" i="21"/>
  <c r="AC41" i="21"/>
  <c r="AB41" i="21"/>
  <c r="AA41" i="21"/>
  <c r="Z41" i="21"/>
  <c r="Y41" i="21"/>
  <c r="X41" i="21"/>
  <c r="W41" i="21"/>
  <c r="V41" i="21"/>
  <c r="U41" i="21"/>
  <c r="AY41" i="21"/>
  <c r="T41" i="21"/>
  <c r="S41" i="21"/>
  <c r="R41" i="21"/>
  <c r="Q41" i="21"/>
  <c r="P41" i="21"/>
  <c r="O41" i="21"/>
  <c r="N41" i="21"/>
  <c r="K41" i="21"/>
  <c r="J41" i="21"/>
  <c r="H41" i="21"/>
  <c r="BD40" i="21"/>
  <c r="BC40" i="21"/>
  <c r="AR40" i="21"/>
  <c r="AR7" i="16" s="1"/>
  <c r="AQ40" i="21"/>
  <c r="AP40" i="21"/>
  <c r="AO40" i="21"/>
  <c r="AO7" i="16" s="1"/>
  <c r="AN40" i="21"/>
  <c r="AM40" i="21"/>
  <c r="BB40" i="21"/>
  <c r="BA40" i="21"/>
  <c r="AW7" i="16" s="1"/>
  <c r="AL40" i="21"/>
  <c r="AK40" i="21"/>
  <c r="AJ40" i="21"/>
  <c r="AZ40" i="21"/>
  <c r="AI40" i="21"/>
  <c r="AH40" i="21"/>
  <c r="AG40" i="21"/>
  <c r="AF40" i="21"/>
  <c r="AF7" i="16" s="1"/>
  <c r="AE40" i="21"/>
  <c r="AD40" i="21"/>
  <c r="AD7" i="16" s="1"/>
  <c r="AC40" i="21"/>
  <c r="AB40" i="21"/>
  <c r="AA40" i="21"/>
  <c r="Z40" i="21"/>
  <c r="Y40" i="21"/>
  <c r="X40" i="21"/>
  <c r="X7" i="16" s="1"/>
  <c r="W40" i="21"/>
  <c r="V40" i="21"/>
  <c r="U40" i="21"/>
  <c r="AY40" i="21"/>
  <c r="T40" i="21"/>
  <c r="S40" i="21"/>
  <c r="R40" i="21"/>
  <c r="Q40" i="21"/>
  <c r="Q3" i="21" s="1"/>
  <c r="P40" i="21"/>
  <c r="O40" i="21"/>
  <c r="N40" i="21"/>
  <c r="N3" i="21" s="1"/>
  <c r="J40" i="21"/>
  <c r="D48" i="21" s="1"/>
  <c r="E40" i="21"/>
  <c r="B7" i="16" s="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BD41" i="20"/>
  <c r="BC41" i="20"/>
  <c r="AR41" i="20"/>
  <c r="AQ41" i="20"/>
  <c r="AP41" i="20"/>
  <c r="AO41" i="20"/>
  <c r="AN41" i="20"/>
  <c r="AM41" i="20"/>
  <c r="BB41" i="20"/>
  <c r="BA41" i="20"/>
  <c r="AL41" i="20"/>
  <c r="AK41" i="20"/>
  <c r="AJ41" i="20"/>
  <c r="AZ41" i="20"/>
  <c r="AI41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AY41" i="20"/>
  <c r="T41" i="20"/>
  <c r="S41" i="20"/>
  <c r="R41" i="20"/>
  <c r="Q41" i="20"/>
  <c r="P41" i="20"/>
  <c r="O41" i="20"/>
  <c r="N41" i="20"/>
  <c r="K41" i="20"/>
  <c r="J41" i="20"/>
  <c r="H41" i="20"/>
  <c r="BD40" i="20"/>
  <c r="BC40" i="20"/>
  <c r="AR40" i="20"/>
  <c r="AQ40" i="20"/>
  <c r="AP40" i="20"/>
  <c r="AO40" i="20"/>
  <c r="AN40" i="20"/>
  <c r="AM40" i="20"/>
  <c r="AM6" i="16" s="1"/>
  <c r="BB40" i="20"/>
  <c r="AX6" i="16" s="1"/>
  <c r="BA40" i="20"/>
  <c r="AW6" i="16" s="1"/>
  <c r="AL40" i="20"/>
  <c r="AK40" i="20"/>
  <c r="AJ40" i="20"/>
  <c r="AJ6" i="16" s="1"/>
  <c r="AZ40" i="20"/>
  <c r="AI40" i="20"/>
  <c r="AH40" i="20"/>
  <c r="AH6" i="16" s="1"/>
  <c r="AG40" i="20"/>
  <c r="AG6" i="16" s="1"/>
  <c r="AF40" i="20"/>
  <c r="AF3" i="20" s="1"/>
  <c r="AE40" i="20"/>
  <c r="AD40" i="20"/>
  <c r="AC40" i="20"/>
  <c r="AB40" i="20"/>
  <c r="AA40" i="20"/>
  <c r="Z40" i="20"/>
  <c r="Z6" i="16" s="1"/>
  <c r="Y40" i="20"/>
  <c r="Y6" i="16" s="1"/>
  <c r="X40" i="20"/>
  <c r="W40" i="20"/>
  <c r="V40" i="20"/>
  <c r="V6" i="16" s="1"/>
  <c r="U40" i="20"/>
  <c r="AY40" i="20"/>
  <c r="T40" i="20"/>
  <c r="S40" i="20"/>
  <c r="S6" i="16" s="1"/>
  <c r="R40" i="20"/>
  <c r="R6" i="16" s="1"/>
  <c r="Q40" i="20"/>
  <c r="Q3" i="20" s="1"/>
  <c r="P40" i="20"/>
  <c r="O40" i="20"/>
  <c r="N40" i="20"/>
  <c r="N3" i="20" s="1"/>
  <c r="J40" i="20"/>
  <c r="D48" i="20" s="1"/>
  <c r="E40" i="20"/>
  <c r="B6" i="16" s="1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BD41" i="19"/>
  <c r="BC41" i="19"/>
  <c r="AR41" i="19"/>
  <c r="AQ41" i="19"/>
  <c r="AP41" i="19"/>
  <c r="AO41" i="19"/>
  <c r="AN41" i="19"/>
  <c r="AM41" i="19"/>
  <c r="BB41" i="19"/>
  <c r="BA41" i="19"/>
  <c r="AL41" i="19"/>
  <c r="AK41" i="19"/>
  <c r="AJ41" i="19"/>
  <c r="AZ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AY41" i="19"/>
  <c r="T41" i="19"/>
  <c r="S41" i="19"/>
  <c r="R41" i="19"/>
  <c r="Q41" i="19"/>
  <c r="P41" i="19"/>
  <c r="O41" i="19"/>
  <c r="N41" i="19"/>
  <c r="K41" i="19"/>
  <c r="J41" i="19"/>
  <c r="H41" i="19"/>
  <c r="BD40" i="19"/>
  <c r="BC40" i="19"/>
  <c r="AR40" i="19"/>
  <c r="AQ40" i="19"/>
  <c r="AP40" i="19"/>
  <c r="AO40" i="19"/>
  <c r="AN40" i="19"/>
  <c r="AM40" i="19"/>
  <c r="BB40" i="19"/>
  <c r="AX5" i="16" s="1"/>
  <c r="BA40" i="19"/>
  <c r="AW5" i="16" s="1"/>
  <c r="AL40" i="19"/>
  <c r="AK40" i="19"/>
  <c r="AJ40" i="19"/>
  <c r="AZ40" i="19"/>
  <c r="AI40" i="19"/>
  <c r="AH40" i="19"/>
  <c r="AG40" i="19"/>
  <c r="AG3" i="19" s="1"/>
  <c r="AF40" i="19"/>
  <c r="AF3" i="19" s="1"/>
  <c r="AE40" i="19"/>
  <c r="AD40" i="19"/>
  <c r="AC40" i="19"/>
  <c r="AB40" i="19"/>
  <c r="AA40" i="19"/>
  <c r="Z40" i="19"/>
  <c r="Y40" i="19"/>
  <c r="Y3" i="19" s="1"/>
  <c r="X40" i="19"/>
  <c r="X5" i="16" s="1"/>
  <c r="W40" i="19"/>
  <c r="V40" i="19"/>
  <c r="U40" i="19"/>
  <c r="AY40" i="19"/>
  <c r="T40" i="19"/>
  <c r="S40" i="19"/>
  <c r="R40" i="19"/>
  <c r="R5" i="16" s="1"/>
  <c r="Q40" i="19"/>
  <c r="Q5" i="16" s="1"/>
  <c r="P40" i="19"/>
  <c r="O40" i="19"/>
  <c r="N40" i="19"/>
  <c r="N3" i="19" s="1"/>
  <c r="J40" i="19"/>
  <c r="D48" i="19" s="1"/>
  <c r="E40" i="19"/>
  <c r="B5" i="16" s="1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BD41" i="18"/>
  <c r="BC41" i="18"/>
  <c r="AR41" i="18"/>
  <c r="AQ41" i="18"/>
  <c r="AP41" i="18"/>
  <c r="AO41" i="18"/>
  <c r="AN41" i="18"/>
  <c r="AM41" i="18"/>
  <c r="BB41" i="18"/>
  <c r="BA41" i="18"/>
  <c r="AL41" i="18"/>
  <c r="AK41" i="18"/>
  <c r="AJ41" i="18"/>
  <c r="AZ41" i="18"/>
  <c r="AI41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AY41" i="18"/>
  <c r="T41" i="18"/>
  <c r="S41" i="18"/>
  <c r="R41" i="18"/>
  <c r="Q41" i="18"/>
  <c r="P41" i="18"/>
  <c r="O41" i="18"/>
  <c r="N41" i="18"/>
  <c r="K41" i="18"/>
  <c r="J41" i="18"/>
  <c r="H41" i="18"/>
  <c r="BD40" i="18"/>
  <c r="BC40" i="18"/>
  <c r="AR40" i="18"/>
  <c r="AQ40" i="18"/>
  <c r="AP40" i="18"/>
  <c r="AO40" i="18"/>
  <c r="AN40" i="18"/>
  <c r="AM40" i="18"/>
  <c r="AM4" i="16" s="1"/>
  <c r="BB40" i="18"/>
  <c r="BA40" i="18"/>
  <c r="AW4" i="16" s="1"/>
  <c r="AL40" i="18"/>
  <c r="AK40" i="18"/>
  <c r="AK4" i="16" s="1"/>
  <c r="AJ40" i="18"/>
  <c r="AJ3" i="18" s="1"/>
  <c r="AZ40" i="18"/>
  <c r="AI40" i="18"/>
  <c r="AH40" i="18"/>
  <c r="AH4" i="16" s="1"/>
  <c r="AG40" i="18"/>
  <c r="AF40" i="18"/>
  <c r="AF4" i="16" s="1"/>
  <c r="AE40" i="18"/>
  <c r="AD40" i="18"/>
  <c r="AC40" i="18"/>
  <c r="AC4" i="16" s="1"/>
  <c r="AB40" i="18"/>
  <c r="AA40" i="18"/>
  <c r="Z40" i="18"/>
  <c r="Z4" i="16" s="1"/>
  <c r="Y40" i="18"/>
  <c r="X40" i="18"/>
  <c r="X4" i="16" s="1"/>
  <c r="W40" i="18"/>
  <c r="V40" i="18"/>
  <c r="U40" i="18"/>
  <c r="AY40" i="18"/>
  <c r="T40" i="18"/>
  <c r="S40" i="18"/>
  <c r="S4" i="16" s="1"/>
  <c r="R40" i="18"/>
  <c r="R4" i="16" s="1"/>
  <c r="Q40" i="18"/>
  <c r="Q4" i="16" s="1"/>
  <c r="P40" i="18"/>
  <c r="O40" i="18"/>
  <c r="N40" i="18"/>
  <c r="J40" i="18"/>
  <c r="D48" i="18" s="1"/>
  <c r="E40" i="18"/>
  <c r="B4" i="16" s="1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H41" i="1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G43" i="4"/>
  <c r="AZ40" i="4"/>
  <c r="AY40" i="4"/>
  <c r="AX40" i="4"/>
  <c r="AX3" i="4" s="1"/>
  <c r="AW40" i="4"/>
  <c r="AV40" i="4"/>
  <c r="AU40" i="4"/>
  <c r="AU3" i="4" s="1"/>
  <c r="AT40" i="4"/>
  <c r="AT3" i="4" s="1"/>
  <c r="AS40" i="4"/>
  <c r="AS3" i="4" s="1"/>
  <c r="AR40" i="4"/>
  <c r="AQ40" i="4"/>
  <c r="AP40" i="4"/>
  <c r="AP3" i="4" s="1"/>
  <c r="AO40" i="4"/>
  <c r="AN40" i="4"/>
  <c r="AM40" i="4"/>
  <c r="AM3" i="4" s="1"/>
  <c r="AL40" i="4"/>
  <c r="AL3" i="4" s="1"/>
  <c r="AK40" i="4"/>
  <c r="AK3" i="4" s="1"/>
  <c r="AJ40" i="4"/>
  <c r="AI40" i="4"/>
  <c r="AH40" i="4"/>
  <c r="AH3" i="4" s="1"/>
  <c r="AG40" i="4"/>
  <c r="AF40" i="4"/>
  <c r="AE40" i="4"/>
  <c r="AE3" i="4" s="1"/>
  <c r="AD40" i="4"/>
  <c r="AD3" i="4" s="1"/>
  <c r="AC40" i="4"/>
  <c r="AC3" i="4" s="1"/>
  <c r="AB40" i="4"/>
  <c r="AA40" i="4"/>
  <c r="Z40" i="4"/>
  <c r="Z3" i="4" s="1"/>
  <c r="Y40" i="4"/>
  <c r="X40" i="4"/>
  <c r="W40" i="4"/>
  <c r="W3" i="4" s="1"/>
  <c r="V40" i="4"/>
  <c r="V3" i="4" s="1"/>
  <c r="U40" i="4"/>
  <c r="U3" i="4" s="1"/>
  <c r="T40" i="4"/>
  <c r="S40" i="4"/>
  <c r="R40" i="4"/>
  <c r="R3" i="4" s="1"/>
  <c r="Q40" i="4"/>
  <c r="P40" i="4"/>
  <c r="O40" i="4"/>
  <c r="O3" i="4" s="1"/>
  <c r="N40" i="4"/>
  <c r="N3" i="4" s="1"/>
  <c r="M40" i="4"/>
  <c r="E41" i="4" s="1"/>
  <c r="E42" i="4" s="1"/>
  <c r="L40" i="4"/>
  <c r="K40" i="4"/>
  <c r="I40" i="4"/>
  <c r="D45" i="4" s="1"/>
  <c r="E40" i="4"/>
  <c r="F40" i="4" s="1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G5" i="4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F5" i="4"/>
  <c r="G4" i="4"/>
  <c r="F4" i="4"/>
  <c r="AZ3" i="4"/>
  <c r="AY3" i="4"/>
  <c r="AW3" i="4"/>
  <c r="AV3" i="4"/>
  <c r="AR3" i="4"/>
  <c r="AQ3" i="4"/>
  <c r="AO3" i="4"/>
  <c r="AN3" i="4"/>
  <c r="AJ3" i="4"/>
  <c r="AI3" i="4"/>
  <c r="AG3" i="4"/>
  <c r="AF3" i="4"/>
  <c r="AB3" i="4"/>
  <c r="AA3" i="4"/>
  <c r="Y3" i="4"/>
  <c r="X3" i="4"/>
  <c r="T3" i="4"/>
  <c r="S3" i="4"/>
  <c r="Q3" i="4"/>
  <c r="P3" i="4"/>
  <c r="L3" i="4"/>
  <c r="K3" i="4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BD41" i="1"/>
  <c r="BC41" i="1"/>
  <c r="AR41" i="1"/>
  <c r="AQ41" i="1"/>
  <c r="AP41" i="1"/>
  <c r="AO41" i="1"/>
  <c r="AN41" i="1"/>
  <c r="BD40" i="1"/>
  <c r="BC40" i="1"/>
  <c r="AR40" i="1"/>
  <c r="AQ40" i="1"/>
  <c r="AP40" i="1"/>
  <c r="AO40" i="1"/>
  <c r="AN40" i="1"/>
  <c r="AM40" i="1"/>
  <c r="AM3" i="1" s="1"/>
  <c r="AM41" i="1"/>
  <c r="BB40" i="1"/>
  <c r="BB41" i="1"/>
  <c r="J40" i="1"/>
  <c r="D48" i="1" s="1"/>
  <c r="BA41" i="1"/>
  <c r="AL41" i="1"/>
  <c r="AK41" i="1"/>
  <c r="AJ41" i="1"/>
  <c r="BA40" i="1"/>
  <c r="AL40" i="1"/>
  <c r="AL3" i="1" s="1"/>
  <c r="AK40" i="1"/>
  <c r="AK3" i="1" s="1"/>
  <c r="AJ40" i="1"/>
  <c r="AJ3" i="1" s="1"/>
  <c r="AZ40" i="1"/>
  <c r="AZ41" i="1"/>
  <c r="AI40" i="1"/>
  <c r="AI3" i="1" s="1"/>
  <c r="AI41" i="1"/>
  <c r="AA40" i="1"/>
  <c r="AA3" i="1" s="1"/>
  <c r="AA41" i="1"/>
  <c r="AH41" i="1"/>
  <c r="AG41" i="1"/>
  <c r="T41" i="1"/>
  <c r="AF41" i="1"/>
  <c r="AD41" i="1"/>
  <c r="AE41" i="1"/>
  <c r="AC41" i="1"/>
  <c r="AB41" i="1"/>
  <c r="Z41" i="1"/>
  <c r="Y41" i="1"/>
  <c r="X41" i="1"/>
  <c r="W41" i="1"/>
  <c r="V41" i="1"/>
  <c r="U41" i="1"/>
  <c r="AY41" i="1"/>
  <c r="S41" i="1"/>
  <c r="AH40" i="1"/>
  <c r="AH3" i="16" s="1"/>
  <c r="AG40" i="1"/>
  <c r="AG3" i="1" s="1"/>
  <c r="T40" i="1"/>
  <c r="T3" i="1" s="1"/>
  <c r="AF40" i="1"/>
  <c r="AF3" i="1" s="1"/>
  <c r="AD40" i="1"/>
  <c r="AD3" i="1" s="1"/>
  <c r="AE40" i="1"/>
  <c r="AE3" i="1" s="1"/>
  <c r="N40" i="1"/>
  <c r="O40" i="1"/>
  <c r="P40" i="1"/>
  <c r="P3" i="1" s="1"/>
  <c r="Q40" i="1"/>
  <c r="Q3" i="1" s="1"/>
  <c r="R40" i="1"/>
  <c r="R3" i="1" s="1"/>
  <c r="S40" i="1"/>
  <c r="S3" i="1" s="1"/>
  <c r="AY40" i="1"/>
  <c r="U40" i="1"/>
  <c r="U3" i="1" s="1"/>
  <c r="V40" i="1"/>
  <c r="V3" i="1" s="1"/>
  <c r="W40" i="1"/>
  <c r="X40" i="1"/>
  <c r="X3" i="1" s="1"/>
  <c r="Y40" i="1"/>
  <c r="Y3" i="1" s="1"/>
  <c r="Z40" i="1"/>
  <c r="Z3" i="1" s="1"/>
  <c r="AB40" i="1"/>
  <c r="AB3" i="1" s="1"/>
  <c r="AC40" i="1"/>
  <c r="R41" i="1"/>
  <c r="Q41" i="1"/>
  <c r="P41" i="1"/>
  <c r="O41" i="1"/>
  <c r="N41" i="1"/>
  <c r="K41" i="1"/>
  <c r="J41" i="1"/>
  <c r="AS15" i="16" l="1"/>
  <c r="E43" i="19"/>
  <c r="C5" i="16" s="1"/>
  <c r="AU6" i="16"/>
  <c r="E44" i="20"/>
  <c r="D6" i="16" s="1"/>
  <c r="AU4" i="16"/>
  <c r="E44" i="18"/>
  <c r="E43" i="20"/>
  <c r="E43" i="1"/>
  <c r="C3" i="16" s="1"/>
  <c r="L3" i="16" s="1"/>
  <c r="E43" i="18"/>
  <c r="C4" i="16" s="1"/>
  <c r="E44" i="1"/>
  <c r="E43" i="26"/>
  <c r="C12" i="16" s="1"/>
  <c r="E44" i="24"/>
  <c r="D10" i="16" s="1"/>
  <c r="AU5" i="16"/>
  <c r="E44" i="19"/>
  <c r="D5" i="16" s="1"/>
  <c r="P9" i="16"/>
  <c r="E43" i="23"/>
  <c r="C9" i="16" s="1"/>
  <c r="L9" i="16" s="1"/>
  <c r="E43" i="22"/>
  <c r="C8" i="16" s="1"/>
  <c r="E43" i="21"/>
  <c r="C7" i="16" s="1"/>
  <c r="E43" i="24"/>
  <c r="C10" i="16" s="1"/>
  <c r="E43" i="25"/>
  <c r="C11" i="16" s="1"/>
  <c r="AG13" i="16"/>
  <c r="E43" i="27"/>
  <c r="C13" i="16" s="1"/>
  <c r="AG14" i="16"/>
  <c r="E43" i="28"/>
  <c r="C14" i="16" s="1"/>
  <c r="AU14" i="16"/>
  <c r="E44" i="28"/>
  <c r="AU13" i="16"/>
  <c r="E44" i="27"/>
  <c r="AU12" i="16"/>
  <c r="E44" i="26"/>
  <c r="D12" i="16" s="1"/>
  <c r="AU11" i="16"/>
  <c r="E44" i="25"/>
  <c r="D11" i="16" s="1"/>
  <c r="AU9" i="16"/>
  <c r="E44" i="23"/>
  <c r="D9" i="16" s="1"/>
  <c r="AU8" i="16"/>
  <c r="E44" i="22"/>
  <c r="D8" i="16" s="1"/>
  <c r="AU7" i="16"/>
  <c r="E44" i="21"/>
  <c r="D7" i="16" s="1"/>
  <c r="AK3" i="26"/>
  <c r="AQ3" i="26"/>
  <c r="K3" i="16"/>
  <c r="E41" i="24"/>
  <c r="AO3" i="21"/>
  <c r="AA3" i="28"/>
  <c r="AU10" i="16"/>
  <c r="F40" i="24"/>
  <c r="R3" i="28"/>
  <c r="AV14" i="16"/>
  <c r="AO3" i="28"/>
  <c r="AO14" i="16"/>
  <c r="Y3" i="28"/>
  <c r="AP3" i="28"/>
  <c r="AP14" i="16"/>
  <c r="AQ3" i="28"/>
  <c r="AQ14" i="16"/>
  <c r="BB3" i="28"/>
  <c r="AR3" i="28"/>
  <c r="AR14" i="16"/>
  <c r="BA3" i="28"/>
  <c r="AW14" i="16"/>
  <c r="BC3" i="28"/>
  <c r="AY14" i="16"/>
  <c r="AV13" i="16"/>
  <c r="AP3" i="27"/>
  <c r="AP13" i="16"/>
  <c r="AQ3" i="27"/>
  <c r="AQ13" i="16"/>
  <c r="AR3" i="27"/>
  <c r="AR13" i="16"/>
  <c r="BC3" i="27"/>
  <c r="AY13" i="16"/>
  <c r="AN3" i="27"/>
  <c r="AN13" i="16"/>
  <c r="AO3" i="27"/>
  <c r="AO13" i="16"/>
  <c r="AO3" i="26"/>
  <c r="AO12" i="16"/>
  <c r="AP3" i="26"/>
  <c r="AP12" i="16"/>
  <c r="AV12" i="16"/>
  <c r="AR3" i="26"/>
  <c r="AR12" i="16"/>
  <c r="BA3" i="26"/>
  <c r="AW12" i="16"/>
  <c r="BC3" i="26"/>
  <c r="AY12" i="16"/>
  <c r="AX12" i="16"/>
  <c r="AN3" i="26"/>
  <c r="AN12" i="16"/>
  <c r="AR3" i="25"/>
  <c r="AR11" i="16"/>
  <c r="BC3" i="25"/>
  <c r="AY11" i="16"/>
  <c r="AX11" i="16"/>
  <c r="AN3" i="25"/>
  <c r="AN11" i="16"/>
  <c r="AV11" i="16"/>
  <c r="AO3" i="25"/>
  <c r="AO11" i="16"/>
  <c r="AP3" i="25"/>
  <c r="AP11" i="16"/>
  <c r="AQ3" i="25"/>
  <c r="AQ11" i="16"/>
  <c r="BA3" i="24"/>
  <c r="AW10" i="16"/>
  <c r="BC3" i="24"/>
  <c r="AY10" i="16"/>
  <c r="AN3" i="24"/>
  <c r="AN10" i="16"/>
  <c r="AO3" i="24"/>
  <c r="AO10" i="16"/>
  <c r="AP3" i="24"/>
  <c r="AP10" i="16"/>
  <c r="AQ3" i="24"/>
  <c r="AQ10" i="16"/>
  <c r="AR3" i="24"/>
  <c r="AR10" i="16"/>
  <c r="AN3" i="23"/>
  <c r="AN9" i="16"/>
  <c r="BC3" i="23"/>
  <c r="AY9" i="16"/>
  <c r="AV9" i="16"/>
  <c r="AO3" i="23"/>
  <c r="AO9" i="16"/>
  <c r="AR3" i="23"/>
  <c r="AR9" i="16"/>
  <c r="AP3" i="23"/>
  <c r="AP9" i="16"/>
  <c r="AQ3" i="23"/>
  <c r="AQ9" i="16"/>
  <c r="BC3" i="22"/>
  <c r="AY8" i="16"/>
  <c r="AX8" i="16"/>
  <c r="AN3" i="22"/>
  <c r="AN8" i="16"/>
  <c r="AV8" i="16"/>
  <c r="AO3" i="22"/>
  <c r="AO8" i="16"/>
  <c r="AP3" i="22"/>
  <c r="AP8" i="16"/>
  <c r="AT15" i="16"/>
  <c r="AQ3" i="22"/>
  <c r="AQ8" i="16"/>
  <c r="AR3" i="22"/>
  <c r="AR8" i="16"/>
  <c r="BC3" i="21"/>
  <c r="AY7" i="16"/>
  <c r="AX7" i="16"/>
  <c r="AN3" i="21"/>
  <c r="AN7" i="16"/>
  <c r="AV7" i="16"/>
  <c r="AP3" i="21"/>
  <c r="AP7" i="16"/>
  <c r="AR3" i="21"/>
  <c r="AQ3" i="21"/>
  <c r="AQ7" i="16"/>
  <c r="AV6" i="16"/>
  <c r="AO3" i="20"/>
  <c r="AO6" i="16"/>
  <c r="AP3" i="20"/>
  <c r="AP6" i="16"/>
  <c r="AQ3" i="20"/>
  <c r="AQ6" i="16"/>
  <c r="AR3" i="20"/>
  <c r="AR6" i="16"/>
  <c r="AN3" i="20"/>
  <c r="AN6" i="16"/>
  <c r="BC3" i="20"/>
  <c r="AY6" i="16"/>
  <c r="AN3" i="19"/>
  <c r="AN5" i="16"/>
  <c r="AV5" i="16"/>
  <c r="AO3" i="19"/>
  <c r="AO5" i="16"/>
  <c r="AH3" i="19"/>
  <c r="AP3" i="19"/>
  <c r="AP5" i="16"/>
  <c r="AM3" i="19"/>
  <c r="AQ3" i="19"/>
  <c r="AQ5" i="16"/>
  <c r="AR3" i="19"/>
  <c r="AR5" i="16"/>
  <c r="BC3" i="19"/>
  <c r="AY5" i="16"/>
  <c r="AP3" i="18"/>
  <c r="AP4" i="16"/>
  <c r="AR3" i="18"/>
  <c r="AR4" i="16"/>
  <c r="BC3" i="18"/>
  <c r="AY4" i="16"/>
  <c r="AX4" i="16"/>
  <c r="AQ3" i="18"/>
  <c r="AQ4" i="16"/>
  <c r="AN3" i="18"/>
  <c r="AN4" i="16"/>
  <c r="AV4" i="16"/>
  <c r="AO3" i="18"/>
  <c r="AO4" i="16"/>
  <c r="AZ3" i="1"/>
  <c r="AV3" i="16"/>
  <c r="AQ3" i="1"/>
  <c r="AQ3" i="16"/>
  <c r="AR3" i="1"/>
  <c r="AR3" i="16"/>
  <c r="AP3" i="1"/>
  <c r="AP3" i="16"/>
  <c r="O3" i="1"/>
  <c r="E41" i="1"/>
  <c r="BB3" i="1"/>
  <c r="AX3" i="16"/>
  <c r="BC3" i="1"/>
  <c r="AY3" i="16"/>
  <c r="AO3" i="1"/>
  <c r="AO3" i="16"/>
  <c r="BA3" i="1"/>
  <c r="AW3" i="16"/>
  <c r="AU3" i="16"/>
  <c r="AN3" i="1"/>
  <c r="AN3" i="16"/>
  <c r="AG3" i="28"/>
  <c r="AV10" i="16"/>
  <c r="BD3" i="25"/>
  <c r="AZ11" i="16"/>
  <c r="BD3" i="27"/>
  <c r="BD3" i="26"/>
  <c r="AZ12" i="16"/>
  <c r="BD3" i="18"/>
  <c r="AZ4" i="16"/>
  <c r="BD3" i="23"/>
  <c r="AZ9" i="16"/>
  <c r="BD3" i="28"/>
  <c r="AZ14" i="16"/>
  <c r="BD3" i="1"/>
  <c r="AZ3" i="16"/>
  <c r="BD3" i="22"/>
  <c r="AZ8" i="16"/>
  <c r="BD3" i="19"/>
  <c r="AZ5" i="16"/>
  <c r="BD3" i="21"/>
  <c r="AZ7" i="16"/>
  <c r="BD3" i="24"/>
  <c r="AZ10" i="16"/>
  <c r="BD3" i="20"/>
  <c r="AZ6" i="16"/>
  <c r="K6" i="16"/>
  <c r="K8" i="16"/>
  <c r="K12" i="16"/>
  <c r="K11" i="16"/>
  <c r="K9" i="16"/>
  <c r="K13" i="16"/>
  <c r="K5" i="16"/>
  <c r="K7" i="16"/>
  <c r="K10" i="16"/>
  <c r="J15" i="16"/>
  <c r="K14" i="16"/>
  <c r="D14" i="16"/>
  <c r="D13" i="16"/>
  <c r="O13" i="16"/>
  <c r="E41" i="27"/>
  <c r="O12" i="16"/>
  <c r="E41" i="26"/>
  <c r="O11" i="16"/>
  <c r="E41" i="25"/>
  <c r="AB3" i="24"/>
  <c r="AZ3" i="24"/>
  <c r="O3" i="24"/>
  <c r="AJ3" i="23"/>
  <c r="E41" i="23"/>
  <c r="O3" i="22"/>
  <c r="E41" i="22"/>
  <c r="E41" i="21"/>
  <c r="O3" i="20"/>
  <c r="E41" i="20"/>
  <c r="Z3" i="19"/>
  <c r="S3" i="19"/>
  <c r="O3" i="19"/>
  <c r="E41" i="19"/>
  <c r="D4" i="16"/>
  <c r="E41" i="18"/>
  <c r="E41" i="28"/>
  <c r="AC3" i="21"/>
  <c r="AI3" i="28"/>
  <c r="AH3" i="21"/>
  <c r="T3" i="28"/>
  <c r="AY3" i="24"/>
  <c r="U3" i="23"/>
  <c r="AC3" i="23"/>
  <c r="N3" i="23"/>
  <c r="AJ3" i="26"/>
  <c r="AG3" i="18"/>
  <c r="O3" i="27"/>
  <c r="AY3" i="26"/>
  <c r="V3" i="27"/>
  <c r="AD3" i="27"/>
  <c r="AK3" i="27"/>
  <c r="AA3" i="20"/>
  <c r="AY3" i="18"/>
  <c r="AB3" i="18"/>
  <c r="T3" i="24"/>
  <c r="AZ3" i="18"/>
  <c r="AA3" i="25"/>
  <c r="AD3" i="23"/>
  <c r="R3" i="18"/>
  <c r="AJ3" i="24"/>
  <c r="AE3" i="22"/>
  <c r="AA3" i="18"/>
  <c r="AI3" i="20"/>
  <c r="AI3" i="18"/>
  <c r="T3" i="18"/>
  <c r="T3" i="20"/>
  <c r="AY3" i="21"/>
  <c r="BB3" i="21"/>
  <c r="U3" i="25"/>
  <c r="AY3" i="20"/>
  <c r="AC3" i="25"/>
  <c r="AA3" i="24"/>
  <c r="V3" i="25"/>
  <c r="AE3" i="20"/>
  <c r="AI3" i="24"/>
  <c r="AY3" i="19"/>
  <c r="O3" i="21"/>
  <c r="W8" i="16"/>
  <c r="R3" i="26"/>
  <c r="BB3" i="26"/>
  <c r="AG3" i="27"/>
  <c r="AJ3" i="28"/>
  <c r="AB3" i="20"/>
  <c r="U3" i="28"/>
  <c r="AE3" i="19"/>
  <c r="AD3" i="20"/>
  <c r="V3" i="21"/>
  <c r="AD3" i="25"/>
  <c r="BB3" i="27"/>
  <c r="W3" i="28"/>
  <c r="AJ3" i="25"/>
  <c r="Y3" i="26"/>
  <c r="AD3" i="21"/>
  <c r="N3" i="25"/>
  <c r="AK3" i="25"/>
  <c r="R3" i="27"/>
  <c r="AL5" i="16"/>
  <c r="AZ3" i="20"/>
  <c r="O3" i="25"/>
  <c r="AG3" i="26"/>
  <c r="N3" i="28"/>
  <c r="AC3" i="28"/>
  <c r="AK3" i="21"/>
  <c r="AY3" i="22"/>
  <c r="Y3" i="27"/>
  <c r="O3" i="28"/>
  <c r="AC6" i="16"/>
  <c r="AG4" i="16"/>
  <c r="V3" i="22"/>
  <c r="AD8" i="16"/>
  <c r="AG9" i="16"/>
  <c r="AK3" i="19"/>
  <c r="AD3" i="22"/>
  <c r="U3" i="26"/>
  <c r="P3" i="27"/>
  <c r="AZ3" i="27"/>
  <c r="AJ12" i="16"/>
  <c r="AM3" i="21"/>
  <c r="Q7" i="16"/>
  <c r="AZ3" i="23"/>
  <c r="AB3" i="28"/>
  <c r="U3" i="20"/>
  <c r="AJ3" i="20"/>
  <c r="AB7" i="16"/>
  <c r="AG3" i="22"/>
  <c r="AY3" i="27"/>
  <c r="V3" i="19"/>
  <c r="Z3" i="21"/>
  <c r="AY3" i="23"/>
  <c r="AB11" i="16"/>
  <c r="AC3" i="26"/>
  <c r="AE3" i="18"/>
  <c r="AY3" i="28"/>
  <c r="AD3" i="19"/>
  <c r="W5" i="16"/>
  <c r="AC3" i="20"/>
  <c r="Q8" i="16"/>
  <c r="AB3" i="23"/>
  <c r="N3" i="26"/>
  <c r="AB3" i="27"/>
  <c r="AZ3" i="28"/>
  <c r="U3" i="19"/>
  <c r="AA6" i="16"/>
  <c r="R7" i="16"/>
  <c r="AC7" i="16"/>
  <c r="AM7" i="16"/>
  <c r="R8" i="16"/>
  <c r="AE8" i="16"/>
  <c r="X10" i="16"/>
  <c r="R3" i="25"/>
  <c r="AG3" i="25"/>
  <c r="AG11" i="16"/>
  <c r="Q12" i="16"/>
  <c r="AB13" i="16"/>
  <c r="Z5" i="16"/>
  <c r="AM5" i="16"/>
  <c r="S7" i="16"/>
  <c r="S8" i="16"/>
  <c r="AC3" i="24"/>
  <c r="AB10" i="16"/>
  <c r="AY3" i="25"/>
  <c r="AZ3" i="25"/>
  <c r="N3" i="27"/>
  <c r="AD5" i="16"/>
  <c r="AJ3" i="21"/>
  <c r="AG7" i="16"/>
  <c r="R3" i="22"/>
  <c r="BB3" i="22"/>
  <c r="V8" i="16"/>
  <c r="AG8" i="16"/>
  <c r="AE3" i="24"/>
  <c r="AC10" i="16"/>
  <c r="U12" i="16"/>
  <c r="AC3" i="27"/>
  <c r="T14" i="16"/>
  <c r="Y4" i="16"/>
  <c r="AE5" i="16"/>
  <c r="U7" i="16"/>
  <c r="AH7" i="16"/>
  <c r="P3" i="24"/>
  <c r="AF10" i="16"/>
  <c r="X12" i="16"/>
  <c r="AF5" i="16"/>
  <c r="T6" i="16"/>
  <c r="AI6" i="16"/>
  <c r="U3" i="21"/>
  <c r="U3" i="22"/>
  <c r="X8" i="16"/>
  <c r="AK8" i="16"/>
  <c r="U9" i="16"/>
  <c r="Y3" i="25"/>
  <c r="BB3" i="25"/>
  <c r="AI14" i="16"/>
  <c r="P13" i="16"/>
  <c r="AD3" i="18"/>
  <c r="AB4" i="16"/>
  <c r="S5" i="16"/>
  <c r="AH5" i="16"/>
  <c r="U6" i="16"/>
  <c r="Y7" i="16"/>
  <c r="AJ7" i="16"/>
  <c r="Y8" i="16"/>
  <c r="AL8" i="16"/>
  <c r="AB9" i="16"/>
  <c r="O3" i="26"/>
  <c r="N10" i="16"/>
  <c r="V5" i="16"/>
  <c r="AK5" i="16"/>
  <c r="Z7" i="16"/>
  <c r="Y3" i="22"/>
  <c r="AC9" i="16"/>
  <c r="U3" i="24"/>
  <c r="AL3" i="24"/>
  <c r="T10" i="16"/>
  <c r="Y11" i="16"/>
  <c r="AZ3" i="26"/>
  <c r="AF12" i="16"/>
  <c r="U3" i="27"/>
  <c r="AJ3" i="27"/>
  <c r="N13" i="16"/>
  <c r="U3" i="18"/>
  <c r="AI3" i="27"/>
  <c r="Z3" i="28"/>
  <c r="AL9" i="16"/>
  <c r="AC3" i="1"/>
  <c r="Q3" i="23"/>
  <c r="X3" i="23"/>
  <c r="AF3" i="23"/>
  <c r="BA3" i="23"/>
  <c r="AD9" i="16"/>
  <c r="P3" i="26"/>
  <c r="P12" i="16"/>
  <c r="W12" i="16"/>
  <c r="W3" i="26"/>
  <c r="AL3" i="26"/>
  <c r="AL12" i="16"/>
  <c r="AI13" i="16"/>
  <c r="O4" i="16"/>
  <c r="N8" i="16"/>
  <c r="P11" i="16"/>
  <c r="W11" i="16"/>
  <c r="W3" i="25"/>
  <c r="AE11" i="16"/>
  <c r="AE3" i="25"/>
  <c r="AL11" i="16"/>
  <c r="AL3" i="25"/>
  <c r="AE12" i="16"/>
  <c r="AA3" i="27"/>
  <c r="T13" i="16"/>
  <c r="O6" i="16"/>
  <c r="P6" i="16"/>
  <c r="V3" i="18"/>
  <c r="Q3" i="18"/>
  <c r="X3" i="18"/>
  <c r="AF3" i="18"/>
  <c r="BA3" i="18"/>
  <c r="T4" i="16"/>
  <c r="AA4" i="16"/>
  <c r="AI4" i="16"/>
  <c r="W3" i="19"/>
  <c r="AI3" i="19"/>
  <c r="O5" i="16"/>
  <c r="Y5" i="16"/>
  <c r="AG5" i="16"/>
  <c r="V3" i="20"/>
  <c r="R3" i="20"/>
  <c r="Y3" i="20"/>
  <c r="AG3" i="20"/>
  <c r="BB3" i="20"/>
  <c r="AB6" i="16"/>
  <c r="W3" i="21"/>
  <c r="AG3" i="21"/>
  <c r="T7" i="16"/>
  <c r="AA7" i="16"/>
  <c r="AI7" i="16"/>
  <c r="N3" i="22"/>
  <c r="W3" i="22"/>
  <c r="AI3" i="22"/>
  <c r="O8" i="16"/>
  <c r="V3" i="23"/>
  <c r="R3" i="23"/>
  <c r="Y3" i="23"/>
  <c r="BB3" i="23"/>
  <c r="AF9" i="16"/>
  <c r="R3" i="24"/>
  <c r="R10" i="16"/>
  <c r="Y3" i="24"/>
  <c r="Y10" i="16"/>
  <c r="AG3" i="24"/>
  <c r="AG10" i="16"/>
  <c r="BB3" i="24"/>
  <c r="P3" i="25"/>
  <c r="F40" i="25"/>
  <c r="AF3" i="25"/>
  <c r="BA3" i="25"/>
  <c r="X11" i="16"/>
  <c r="O7" i="16"/>
  <c r="P5" i="16"/>
  <c r="N3" i="18"/>
  <c r="N4" i="16"/>
  <c r="F40" i="19"/>
  <c r="X3" i="21"/>
  <c r="N5" i="16"/>
  <c r="Z3" i="20"/>
  <c r="AM3" i="20"/>
  <c r="Y3" i="21"/>
  <c r="P8" i="16"/>
  <c r="S3" i="23"/>
  <c r="S9" i="16"/>
  <c r="AM3" i="24"/>
  <c r="AM10" i="16"/>
  <c r="AE3" i="26"/>
  <c r="W3" i="27"/>
  <c r="AE3" i="27"/>
  <c r="AL3" i="27"/>
  <c r="W13" i="16"/>
  <c r="V3" i="28"/>
  <c r="V14" i="16"/>
  <c r="AD3" i="28"/>
  <c r="AD14" i="16"/>
  <c r="AK14" i="16"/>
  <c r="AK3" i="28"/>
  <c r="O14" i="16"/>
  <c r="P7" i="16"/>
  <c r="O9" i="16"/>
  <c r="AK10" i="16"/>
  <c r="AK3" i="24"/>
  <c r="S3" i="28"/>
  <c r="BA3" i="21"/>
  <c r="P4" i="16"/>
  <c r="S3" i="20"/>
  <c r="W3" i="23"/>
  <c r="Z3" i="23"/>
  <c r="Z9" i="16"/>
  <c r="AM3" i="23"/>
  <c r="AM9" i="16"/>
  <c r="Z3" i="24"/>
  <c r="Z10" i="16"/>
  <c r="Y3" i="18"/>
  <c r="AK3" i="18"/>
  <c r="S3" i="18"/>
  <c r="Z3" i="18"/>
  <c r="AH3" i="18"/>
  <c r="AM3" i="18"/>
  <c r="U4" i="16"/>
  <c r="AJ4" i="16"/>
  <c r="P3" i="19"/>
  <c r="AA3" i="19"/>
  <c r="AJ3" i="19"/>
  <c r="Q3" i="19"/>
  <c r="X3" i="19"/>
  <c r="BA3" i="19"/>
  <c r="T5" i="16"/>
  <c r="AA5" i="16"/>
  <c r="AI5" i="16"/>
  <c r="AK3" i="20"/>
  <c r="AD6" i="16"/>
  <c r="AK6" i="16"/>
  <c r="R3" i="21"/>
  <c r="AI3" i="21"/>
  <c r="P3" i="22"/>
  <c r="AA3" i="22"/>
  <c r="AJ3" i="22"/>
  <c r="AF3" i="22"/>
  <c r="BA3" i="22"/>
  <c r="T8" i="16"/>
  <c r="AA8" i="16"/>
  <c r="AI8" i="16"/>
  <c r="AK3" i="23"/>
  <c r="F40" i="23"/>
  <c r="T9" i="16"/>
  <c r="AA9" i="16"/>
  <c r="AI9" i="16"/>
  <c r="F40" i="27"/>
  <c r="Q13" i="16"/>
  <c r="X3" i="27"/>
  <c r="X13" i="16"/>
  <c r="AF3" i="27"/>
  <c r="AF13" i="16"/>
  <c r="BA3" i="27"/>
  <c r="AA13" i="16"/>
  <c r="P3" i="28"/>
  <c r="AE3" i="28"/>
  <c r="AE14" i="16"/>
  <c r="AL14" i="16"/>
  <c r="Z14" i="16"/>
  <c r="AC3" i="18"/>
  <c r="O10" i="16"/>
  <c r="AH3" i="28"/>
  <c r="AL3" i="21"/>
  <c r="X3" i="20"/>
  <c r="W3" i="18"/>
  <c r="AZ3" i="19"/>
  <c r="W3" i="20"/>
  <c r="AH3" i="20"/>
  <c r="P3" i="21"/>
  <c r="F40" i="21"/>
  <c r="AZ3" i="22"/>
  <c r="AH3" i="24"/>
  <c r="AH10" i="16"/>
  <c r="O3" i="18"/>
  <c r="AL3" i="18"/>
  <c r="V4" i="16"/>
  <c r="AD4" i="16"/>
  <c r="AB3" i="19"/>
  <c r="R3" i="19"/>
  <c r="BB3" i="19"/>
  <c r="AB5" i="16"/>
  <c r="AL3" i="20"/>
  <c r="W6" i="16"/>
  <c r="AE6" i="16"/>
  <c r="AL6" i="16"/>
  <c r="S3" i="21"/>
  <c r="AA3" i="21"/>
  <c r="AZ3" i="21"/>
  <c r="N7" i="16"/>
  <c r="V7" i="16"/>
  <c r="AK7" i="16"/>
  <c r="AB3" i="22"/>
  <c r="O3" i="23"/>
  <c r="AL3" i="23"/>
  <c r="X9" i="16"/>
  <c r="AJ9" i="16"/>
  <c r="T11" i="16"/>
  <c r="T3" i="25"/>
  <c r="AI3" i="25"/>
  <c r="AI11" i="16"/>
  <c r="AF11" i="16"/>
  <c r="T12" i="16"/>
  <c r="T3" i="26"/>
  <c r="AA12" i="16"/>
  <c r="AA3" i="26"/>
  <c r="AI12" i="16"/>
  <c r="AI3" i="26"/>
  <c r="N3" i="1"/>
  <c r="N3" i="16"/>
  <c r="AD10" i="16"/>
  <c r="AM3" i="28"/>
  <c r="AF3" i="21"/>
  <c r="AE9" i="16"/>
  <c r="BA3" i="20"/>
  <c r="AE3" i="21"/>
  <c r="AH3" i="23"/>
  <c r="AH9" i="16"/>
  <c r="V9" i="16"/>
  <c r="S3" i="24"/>
  <c r="S10" i="16"/>
  <c r="P3" i="18"/>
  <c r="BB3" i="18"/>
  <c r="W4" i="16"/>
  <c r="AE4" i="16"/>
  <c r="AL4" i="16"/>
  <c r="T3" i="19"/>
  <c r="AC3" i="19"/>
  <c r="AL3" i="19"/>
  <c r="U5" i="16"/>
  <c r="AC5" i="16"/>
  <c r="AJ5" i="16"/>
  <c r="P3" i="20"/>
  <c r="N6" i="16"/>
  <c r="Q6" i="16"/>
  <c r="X6" i="16"/>
  <c r="AF6" i="16"/>
  <c r="T3" i="21"/>
  <c r="AB3" i="21"/>
  <c r="W7" i="16"/>
  <c r="AE7" i="16"/>
  <c r="AL7" i="16"/>
  <c r="T3" i="22"/>
  <c r="AC3" i="22"/>
  <c r="AL3" i="22"/>
  <c r="Z3" i="22"/>
  <c r="AH3" i="22"/>
  <c r="AM3" i="22"/>
  <c r="U8" i="16"/>
  <c r="P3" i="23"/>
  <c r="Y9" i="16"/>
  <c r="AK9" i="16"/>
  <c r="V3" i="24"/>
  <c r="AB3" i="26"/>
  <c r="AE13" i="16"/>
  <c r="AH14" i="16"/>
  <c r="N9" i="16"/>
  <c r="S11" i="16"/>
  <c r="Z11" i="16"/>
  <c r="AH11" i="16"/>
  <c r="AM11" i="16"/>
  <c r="V12" i="16"/>
  <c r="AD12" i="16"/>
  <c r="U13" i="16"/>
  <c r="AJ13" i="16"/>
  <c r="AB14" i="16"/>
  <c r="AL10" i="16"/>
  <c r="V13" i="16"/>
  <c r="U14" i="16"/>
  <c r="AC14" i="16"/>
  <c r="Q10" i="16"/>
  <c r="AC11" i="16"/>
  <c r="AJ11" i="16"/>
  <c r="AG12" i="16"/>
  <c r="V11" i="16"/>
  <c r="S12" i="16"/>
  <c r="Z12" i="16"/>
  <c r="AH12" i="16"/>
  <c r="AM12" i="16"/>
  <c r="X14" i="16"/>
  <c r="AF14" i="16"/>
  <c r="S13" i="16"/>
  <c r="Z13" i="16"/>
  <c r="AH13" i="16"/>
  <c r="AM13" i="16"/>
  <c r="Q14" i="16"/>
  <c r="O3" i="16"/>
  <c r="P3" i="16"/>
  <c r="F40" i="22"/>
  <c r="Z3" i="16"/>
  <c r="AD3" i="16"/>
  <c r="F40" i="28"/>
  <c r="Q3" i="27"/>
  <c r="F40" i="26"/>
  <c r="W3" i="24"/>
  <c r="Q3" i="25"/>
  <c r="Q3" i="22"/>
  <c r="F40" i="20"/>
  <c r="F40" i="18"/>
  <c r="AA3" i="16"/>
  <c r="AE3" i="16"/>
  <c r="AK3" i="16"/>
  <c r="AL3" i="16"/>
  <c r="W3" i="1"/>
  <c r="W3" i="16"/>
  <c r="V3" i="16"/>
  <c r="AY3" i="1"/>
  <c r="S3" i="16"/>
  <c r="Q3" i="16"/>
  <c r="X3" i="16"/>
  <c r="AF3" i="16"/>
  <c r="AH3" i="1"/>
  <c r="R3" i="16"/>
  <c r="Y3" i="16"/>
  <c r="AG3" i="16"/>
  <c r="AB3" i="16"/>
  <c r="T3" i="16"/>
  <c r="AI3" i="16"/>
  <c r="U3" i="16"/>
  <c r="AC3" i="16"/>
  <c r="AJ3" i="16"/>
  <c r="AM3" i="16"/>
  <c r="F40" i="1"/>
  <c r="M3" i="4"/>
  <c r="G40" i="4"/>
  <c r="E45" i="1" l="1"/>
  <c r="AZ15" i="16"/>
  <c r="L11" i="16"/>
  <c r="L10" i="16"/>
  <c r="L8" i="16"/>
  <c r="L7" i="16"/>
  <c r="L13" i="16"/>
  <c r="L14" i="16"/>
  <c r="L12" i="16"/>
  <c r="L5" i="16"/>
  <c r="K4" i="16"/>
  <c r="L4" i="16"/>
  <c r="AX15" i="16"/>
  <c r="AU15" i="16"/>
  <c r="E13" i="16"/>
  <c r="E8" i="16"/>
  <c r="E14" i="16"/>
  <c r="AW15" i="16"/>
  <c r="E12" i="16"/>
  <c r="AR15" i="16"/>
  <c r="E11" i="16"/>
  <c r="E10" i="16"/>
  <c r="E9" i="16"/>
  <c r="AP15" i="16"/>
  <c r="E7" i="16"/>
  <c r="AN15" i="16"/>
  <c r="E45" i="20"/>
  <c r="C6" i="16"/>
  <c r="AQ15" i="16"/>
  <c r="E5" i="16"/>
  <c r="AY15" i="16"/>
  <c r="AV15" i="16"/>
  <c r="E4" i="16"/>
  <c r="AO15" i="16"/>
  <c r="E45" i="26"/>
  <c r="D3" i="16"/>
  <c r="E3" i="16" s="1"/>
  <c r="E45" i="25"/>
  <c r="E45" i="21"/>
  <c r="E45" i="24"/>
  <c r="H15" i="16"/>
  <c r="E45" i="28"/>
  <c r="E45" i="27"/>
  <c r="E45" i="23"/>
  <c r="E45" i="22"/>
  <c r="E45" i="19"/>
  <c r="E45" i="18"/>
  <c r="E42" i="21"/>
  <c r="E42" i="20"/>
  <c r="R15" i="16"/>
  <c r="O15" i="16"/>
  <c r="AH15" i="16"/>
  <c r="N15" i="16"/>
  <c r="AA15" i="16"/>
  <c r="Q15" i="16"/>
  <c r="P15" i="16"/>
  <c r="AB15" i="16"/>
  <c r="B15" i="16"/>
  <c r="Y15" i="16"/>
  <c r="V15" i="16"/>
  <c r="AI15" i="16"/>
  <c r="W15" i="16"/>
  <c r="E42" i="28"/>
  <c r="E42" i="19"/>
  <c r="E42" i="26"/>
  <c r="E42" i="27"/>
  <c r="AD15" i="16"/>
  <c r="E42" i="22"/>
  <c r="E42" i="25"/>
  <c r="Z15" i="16"/>
  <c r="E42" i="23"/>
  <c r="X15" i="16"/>
  <c r="E42" i="18"/>
  <c r="AC15" i="16"/>
  <c r="S15" i="16"/>
  <c r="AE15" i="16"/>
  <c r="T15" i="16"/>
  <c r="AF15" i="16"/>
  <c r="AM15" i="16"/>
  <c r="AL15" i="16"/>
  <c r="AJ15" i="16"/>
  <c r="AK15" i="16"/>
  <c r="U15" i="16"/>
  <c r="AG15" i="16"/>
  <c r="E42" i="24"/>
  <c r="E42" i="1"/>
  <c r="E6" i="16" l="1"/>
  <c r="E15" i="16" s="1"/>
  <c r="L6" i="16"/>
  <c r="L16" i="16" s="1"/>
  <c r="G3" i="19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C15" i="16"/>
  <c r="G3" i="20" l="1"/>
  <c r="G4" i="20" l="1"/>
  <c r="G5" i="20" s="1"/>
  <c r="G6" i="20" l="1"/>
  <c r="G7" i="20" s="1"/>
  <c r="G8" i="20" l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3" i="22" s="1"/>
  <c r="G4" i="22" s="1"/>
  <c r="G5" i="22" l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3" i="23" s="1"/>
  <c r="G4" i="23" s="1"/>
  <c r="G5" i="23" l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3" i="24" s="1"/>
  <c r="G4" i="24" s="1"/>
  <c r="G5" i="24" l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3" i="25" s="1"/>
  <c r="G4" i="25" s="1"/>
  <c r="G5" i="25" l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3" i="26" s="1"/>
  <c r="G4" i="26" s="1"/>
  <c r="G5" i="26" s="1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3" i="27" s="1"/>
  <c r="G4" i="27" l="1"/>
  <c r="G5" i="27" l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3" i="28" s="1"/>
  <c r="G4" i="28" s="1"/>
  <c r="G5" i="28" s="1"/>
  <c r="G6" i="28" s="1"/>
  <c r="G7" i="28" s="1"/>
  <c r="G8" i="28" s="1"/>
  <c r="G9" i="28" s="1"/>
  <c r="G10" i="28" s="1"/>
  <c r="G11" i="28" s="1"/>
  <c r="G12" i="28" s="1"/>
  <c r="G13" i="28" s="1"/>
  <c r="G14" i="28" s="1"/>
  <c r="G15" i="28" s="1"/>
  <c r="G16" i="28" s="1"/>
  <c r="G17" i="28" s="1"/>
  <c r="G18" i="28" s="1"/>
  <c r="G19" i="28" s="1"/>
  <c r="G20" i="28" s="1"/>
  <c r="G21" i="28" s="1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D15" i="16"/>
</calcChain>
</file>

<file path=xl/sharedStrings.xml><?xml version="1.0" encoding="utf-8"?>
<sst xmlns="http://schemas.openxmlformats.org/spreadsheetml/2006/main" count="1607" uniqueCount="141">
  <si>
    <t>Date</t>
  </si>
  <si>
    <t>Payee</t>
  </si>
  <si>
    <t>A/P</t>
  </si>
  <si>
    <t>A/P Discount</t>
  </si>
  <si>
    <t>Ck No.</t>
  </si>
  <si>
    <t>Ck Amount</t>
  </si>
  <si>
    <t>Deposit Amount</t>
  </si>
  <si>
    <t>Deposit Date</t>
  </si>
  <si>
    <t>Deposit Explanation</t>
  </si>
  <si>
    <t>Opening Balance</t>
  </si>
  <si>
    <t>1525</t>
  </si>
  <si>
    <t>Merchant Fees</t>
  </si>
  <si>
    <t>6027</t>
  </si>
  <si>
    <t>1555</t>
  </si>
  <si>
    <t>6030</t>
  </si>
  <si>
    <t>4070</t>
  </si>
  <si>
    <t>R&amp;M</t>
  </si>
  <si>
    <t>G/L Totals</t>
  </si>
  <si>
    <t>DIF</t>
  </si>
  <si>
    <t>Line #</t>
  </si>
  <si>
    <t>Office</t>
  </si>
  <si>
    <t>Deposit Reconciliation</t>
  </si>
  <si>
    <t>Citizens Statement Deposit Total</t>
  </si>
  <si>
    <t>Sum of G/L Distribution Columns</t>
  </si>
  <si>
    <t>6100</t>
  </si>
  <si>
    <t>Net Payroll</t>
  </si>
  <si>
    <t>Material</t>
  </si>
  <si>
    <t>4005</t>
  </si>
  <si>
    <t>Auto Expense</t>
  </si>
  <si>
    <t>5033</t>
  </si>
  <si>
    <t>Shop</t>
  </si>
  <si>
    <t>4055</t>
  </si>
  <si>
    <t>F/O</t>
  </si>
  <si>
    <t>5010</t>
  </si>
  <si>
    <t>6048</t>
  </si>
  <si>
    <t>Casting Supply</t>
  </si>
  <si>
    <t>Book    Balance</t>
  </si>
  <si>
    <t>Ins  Block</t>
  </si>
  <si>
    <t>Horizontal Proof</t>
  </si>
  <si>
    <t>Telephone</t>
  </si>
  <si>
    <t>6010</t>
  </si>
  <si>
    <t>(Neg=CD High)</t>
  </si>
  <si>
    <t>Shipping Exp</t>
  </si>
  <si>
    <t>5005</t>
  </si>
  <si>
    <t>Locked</t>
  </si>
  <si>
    <t>P/R Tax</t>
  </si>
  <si>
    <t>Rent G&amp;A 34% ($1,205)</t>
  </si>
  <si>
    <t>Rent MFG 66% ($2,339)</t>
  </si>
  <si>
    <t>6021</t>
  </si>
  <si>
    <t>IT Maintenance</t>
  </si>
  <si>
    <t>Employee Health Insurance</t>
  </si>
  <si>
    <t>6045</t>
  </si>
  <si>
    <t>Advertising</t>
  </si>
  <si>
    <t>5045</t>
  </si>
  <si>
    <t>R&amp;D</t>
  </si>
  <si>
    <t>Other Tax</t>
  </si>
  <si>
    <t>6060</t>
  </si>
  <si>
    <t>MMA</t>
  </si>
  <si>
    <t>1004</t>
  </si>
  <si>
    <t>Postage</t>
  </si>
  <si>
    <t>C/L Interest</t>
  </si>
  <si>
    <t>C/L Paydown</t>
  </si>
  <si>
    <t>Dues &amp; Subs</t>
  </si>
  <si>
    <t>6040</t>
  </si>
  <si>
    <t>6020</t>
  </si>
  <si>
    <t>7020</t>
  </si>
  <si>
    <t>1510</t>
  </si>
  <si>
    <t>Loan to GS</t>
  </si>
  <si>
    <t>1635</t>
  </si>
  <si>
    <t>Sales</t>
  </si>
  <si>
    <t>3010</t>
  </si>
  <si>
    <t>S/H Distribution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</si>
  <si>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</si>
  <si>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</si>
  <si>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</si>
  <si>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</si>
  <si>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</si>
  <si>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</si>
  <si>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</si>
  <si>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</si>
  <si>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</si>
  <si>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</si>
  <si>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</si>
  <si>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</si>
  <si>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 TOTALS</t>
  </si>
  <si>
    <t>Ck Amount Total</t>
  </si>
  <si>
    <t>In Balance = ZERO</t>
  </si>
  <si>
    <t>Explanation</t>
  </si>
  <si>
    <t>Difference</t>
  </si>
  <si>
    <t>Citizen Statement Deposit TOTAL</t>
  </si>
  <si>
    <t>A/R Deposit Amount</t>
  </si>
  <si>
    <t>Book         Balance</t>
  </si>
  <si>
    <t>Deposit        Date</t>
  </si>
  <si>
    <t>Balance Brought Forward</t>
  </si>
  <si>
    <r>
      <t xml:space="preserve">Sum of </t>
    </r>
    <r>
      <rPr>
        <u/>
        <sz val="8"/>
        <color theme="1"/>
        <rFont val="Arial"/>
        <family val="2"/>
      </rPr>
      <t>ALL</t>
    </r>
    <r>
      <rPr>
        <sz val="8"/>
        <color theme="1"/>
        <rFont val="Arial"/>
        <family val="2"/>
      </rPr>
      <t xml:space="preserve"> G/L Distribution Columns</t>
    </r>
  </si>
  <si>
    <t>TOTAL Disbursed</t>
  </si>
  <si>
    <t>EXPENSES Disbursed Total</t>
  </si>
  <si>
    <t>Monthly Disbursements</t>
  </si>
  <si>
    <t>Reconciliation</t>
  </si>
  <si>
    <t>Monthly Deposits</t>
  </si>
  <si>
    <t>A/R Receipts</t>
  </si>
  <si>
    <t>Receipts Reconciliation</t>
  </si>
  <si>
    <t>Estimated Cash Basis P&amp;L ($ In - $ Out)</t>
  </si>
  <si>
    <t>Chase - 0386</t>
  </si>
  <si>
    <t>GES</t>
  </si>
  <si>
    <t>EFT</t>
  </si>
  <si>
    <t>ACH</t>
  </si>
  <si>
    <t>WorldPay</t>
  </si>
  <si>
    <t>Nissan</t>
  </si>
  <si>
    <t>3/29/23 Deposit In Transit</t>
  </si>
  <si>
    <t>AMEX</t>
  </si>
  <si>
    <t>MA Health</t>
  </si>
  <si>
    <t>Balance Sheet Receipts</t>
  </si>
  <si>
    <t>Other P&amp;L Receipts</t>
  </si>
  <si>
    <t>Balance Sheet Deposit</t>
  </si>
  <si>
    <t>Balance Sheet Deposit Explanation</t>
  </si>
  <si>
    <t>Balance Sheet Distribution TOTAL</t>
  </si>
  <si>
    <t>Expense (P&amp;L) Distribution TOTAL</t>
  </si>
  <si>
    <t>Balance Sheet Dispursements</t>
  </si>
  <si>
    <t>Amount</t>
  </si>
  <si>
    <t>Payment Method</t>
  </si>
  <si>
    <t>G/L #</t>
  </si>
  <si>
    <t>G/L Description</t>
  </si>
  <si>
    <t>01</t>
  </si>
  <si>
    <t>I&amp;I Realty</t>
  </si>
  <si>
    <t>6030/4070</t>
  </si>
  <si>
    <t>GA / Manuf</t>
  </si>
  <si>
    <t>05</t>
  </si>
  <si>
    <t>1712</t>
  </si>
  <si>
    <t>S/H Dist</t>
  </si>
  <si>
    <t>15</t>
  </si>
  <si>
    <t>Auto</t>
  </si>
  <si>
    <t>22</t>
  </si>
  <si>
    <t>H Ins</t>
  </si>
  <si>
    <t>XXXXXXXXX</t>
  </si>
  <si>
    <t>Citizens Deposit   TOTAL</t>
  </si>
  <si>
    <t>Month</t>
  </si>
  <si>
    <t>A/R and Other P&amp;L Deposits</t>
  </si>
  <si>
    <t>P&amp;L                                      Deposit Explanation</t>
  </si>
  <si>
    <t>G/L P&amp;L Acct Name</t>
  </si>
  <si>
    <t>G/L Balance Sheet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</si>
</sst>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m/d/yy;@"/>
    <numFmt numFmtId="165" formatCode="[$-F800]dddd\,\ mmmm\ dd\,\ yyyy"/>
    <numFmt numFmtId="166" formatCode="&quot;$&quot;#,##0.00"/>
    <numFmt numFmtId="167" formatCode="m/d;@"/>
  </numFmts>
  <fonts count="37" x14ac:knownFonts="1">
    <font>
      <sz val="12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sz val="8"/>
      <color theme="1"/>
      <name val="Arial"/>
      <family val="2"/>
    </font>
    <font>
      <b/>
      <sz val="7.5"/>
      <color theme="1"/>
      <name val="Arial"/>
      <family val="2"/>
    </font>
    <font>
      <sz val="7"/>
      <color theme="1"/>
      <name val="Arial"/>
      <family val="2"/>
    </font>
    <font>
      <i/>
      <sz val="10"/>
      <color theme="1"/>
      <name val="Arial"/>
      <family val="2"/>
    </font>
    <font>
      <i/>
      <sz val="9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6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7.5"/>
      <color theme="1"/>
      <name val="Arial"/>
      <family val="2"/>
    </font>
    <font>
      <sz val="7"/>
      <color indexed="8"/>
      <name val="Arial"/>
      <family val="2"/>
    </font>
    <font>
      <b/>
      <i/>
      <sz val="9"/>
      <color theme="1"/>
      <name val="Arial"/>
      <family val="2"/>
    </font>
    <font>
      <b/>
      <sz val="8"/>
      <color indexed="8"/>
      <name val="Arial"/>
      <family val="2"/>
    </font>
    <font>
      <b/>
      <i/>
      <sz val="9"/>
      <color indexed="8"/>
      <name val="Arial"/>
      <family val="2"/>
    </font>
    <font>
      <sz val="8"/>
      <color theme="1" tint="4.9989318521683403E-2"/>
      <name val="Arial"/>
      <family val="2"/>
    </font>
    <font>
      <u/>
      <sz val="8"/>
      <color theme="1"/>
      <name val="Arial"/>
      <family val="2"/>
    </font>
    <font>
      <sz val="8"/>
      <color rgb="FFFF0000"/>
      <name val="Arial"/>
      <family val="2"/>
    </font>
    <font>
      <b/>
      <sz val="10"/>
      <color theme="1"/>
      <name val="Arial"/>
      <family val="2"/>
    </font>
    <font>
      <b/>
      <i/>
      <sz val="16"/>
      <color theme="1"/>
      <name val="Arial"/>
      <family val="2"/>
    </font>
    <font>
      <sz val="10"/>
      <color theme="1" tint="4.9989318521683403E-2"/>
      <name val="Arial"/>
      <family val="2"/>
    </font>
    <font>
      <b/>
      <i/>
      <sz val="12"/>
      <color theme="1"/>
      <name val="Arial"/>
      <family val="2"/>
    </font>
    <font>
      <sz val="8"/>
      <color rgb="FF000000"/>
      <name val="Arial"/>
      <family val="2"/>
    </font>
    <font>
      <sz val="8"/>
      <color rgb="FF333333"/>
      <name val="Arial"/>
      <family val="2"/>
    </font>
    <font>
      <sz val="8"/>
      <color rgb="FF222222"/>
      <name val="Arial"/>
      <family val="2"/>
    </font>
    <font>
      <sz val="4"/>
      <color rgb="FFFF0000"/>
      <name val="Arial"/>
      <family val="2"/>
    </font>
    <font>
      <sz val="8"/>
      <color indexed="8"/>
      <name val="Arial"/>
      <family val="2"/>
    </font>
    <font>
      <b/>
      <sz val="7"/>
      <name val="Arial"/>
      <family val="2"/>
    </font>
    <font>
      <b/>
      <sz val="7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1F1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0" fillId="0" borderId="0" applyFont="0" applyFill="0" applyBorder="0" applyAlignment="0" applyProtection="0"/>
    <xf numFmtId="0" fontId="11" fillId="0" borderId="0"/>
  </cellStyleXfs>
  <cellXfs count="479">
    <xf numFmtId="0" fontId="0" fillId="0" borderId="0" xfId="0"/>
    <xf numFmtId="49" fontId="3" fillId="0" borderId="0" xfId="0" applyNumberFormat="1" applyFont="1" applyAlignment="1">
      <alignment horizontal="center" vertical="center" wrapText="1"/>
    </xf>
    <xf numFmtId="4" fontId="4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40" fontId="5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 wrapText="1"/>
    </xf>
    <xf numFmtId="4" fontId="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4" fontId="6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 wrapText="1"/>
      <protection locked="0"/>
    </xf>
    <xf numFmtId="40" fontId="4" fillId="0" borderId="1" xfId="0" applyNumberFormat="1" applyFon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8" fontId="5" fillId="0" borderId="1" xfId="0" applyNumberFormat="1" applyFont="1" applyBorder="1" applyAlignment="1" applyProtection="1">
      <alignment horizontal="center" vertical="center"/>
      <protection locked="0"/>
    </xf>
    <xf numFmtId="49" fontId="3" fillId="0" borderId="2" xfId="0" applyNumberFormat="1" applyFont="1" applyBorder="1" applyAlignment="1">
      <alignment horizontal="center" vertical="center" wrapText="1"/>
    </xf>
    <xf numFmtId="40" fontId="3" fillId="0" borderId="1" xfId="0" applyNumberFormat="1" applyFont="1" applyBorder="1" applyAlignment="1">
      <alignment horizontal="center" vertical="center" wrapText="1"/>
    </xf>
    <xf numFmtId="40" fontId="1" fillId="2" borderId="1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 applyProtection="1">
      <alignment horizontal="center" vertical="center" wrapText="1"/>
      <protection locked="0"/>
    </xf>
    <xf numFmtId="49" fontId="8" fillId="2" borderId="5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 wrapText="1"/>
    </xf>
    <xf numFmtId="14" fontId="5" fillId="0" borderId="4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0" fontId="5" fillId="0" borderId="1" xfId="0" applyNumberFormat="1" applyFont="1" applyBorder="1" applyAlignment="1" applyProtection="1">
      <alignment horizontal="center" vertical="center" wrapText="1"/>
      <protection locked="0"/>
    </xf>
    <xf numFmtId="14" fontId="5" fillId="0" borderId="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quotePrefix="1" applyNumberFormat="1" applyFont="1" applyBorder="1" applyAlignment="1" applyProtection="1">
      <alignment horizontal="center" vertical="center" wrapText="1"/>
      <protection locked="0"/>
    </xf>
    <xf numFmtId="1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0" fontId="3" fillId="0" borderId="1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0" fontId="5" fillId="0" borderId="1" xfId="0" applyNumberFormat="1" applyFont="1" applyBorder="1" applyAlignment="1">
      <alignment horizontal="center" vertical="center"/>
    </xf>
    <xf numFmtId="40" fontId="3" fillId="2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0" fontId="5" fillId="0" borderId="4" xfId="0" applyNumberFormat="1" applyFont="1" applyBorder="1" applyAlignment="1" applyProtection="1">
      <alignment horizontal="center" vertical="center" wrapText="1"/>
      <protection locked="0"/>
    </xf>
    <xf numFmtId="40" fontId="5" fillId="0" borderId="4" xfId="0" applyNumberFormat="1" applyFont="1" applyBorder="1" applyAlignment="1">
      <alignment horizontal="center" vertical="center" wrapText="1"/>
    </xf>
    <xf numFmtId="4" fontId="5" fillId="0" borderId="4" xfId="0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4" fontId="5" fillId="0" borderId="1" xfId="0" applyNumberFormat="1" applyFont="1" applyBorder="1" applyAlignment="1" applyProtection="1">
      <alignment horizontal="center" vertical="center" wrapText="1"/>
      <protection locked="0"/>
    </xf>
    <xf numFmtId="4" fontId="2" fillId="0" borderId="1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/>
    </xf>
    <xf numFmtId="40" fontId="5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4" fontId="5" fillId="0" borderId="1" xfId="0" applyNumberFormat="1" applyFont="1" applyBorder="1" applyAlignment="1" applyProtection="1">
      <alignment horizontal="left" vertical="center" wrapText="1"/>
      <protection locked="0"/>
    </xf>
    <xf numFmtId="4" fontId="3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164" fontId="5" fillId="0" borderId="0" xfId="0" applyNumberFormat="1" applyFont="1" applyAlignment="1">
      <alignment horizontal="center" vertical="center" wrapText="1"/>
    </xf>
    <xf numFmtId="49" fontId="6" fillId="0" borderId="6" xfId="0" applyNumberFormat="1" applyFont="1" applyBorder="1" applyAlignment="1">
      <alignment horizontal="center" vertical="center" wrapText="1"/>
    </xf>
    <xf numFmtId="40" fontId="3" fillId="2" borderId="7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7" xfId="0" applyNumberFormat="1" applyFont="1" applyFill="1" applyBorder="1" applyAlignment="1" applyProtection="1">
      <alignment horizontal="center" vertical="center" wrapText="1"/>
      <protection locked="0"/>
    </xf>
    <xf numFmtId="4" fontId="3" fillId="2" borderId="8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1" xfId="0" applyNumberFormat="1" applyFont="1" applyBorder="1" applyAlignment="1" applyProtection="1">
      <alignment horizontal="center" vertical="center" wrapText="1"/>
      <protection locked="0"/>
    </xf>
    <xf numFmtId="49" fontId="6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 wrapText="1"/>
      <protection locked="0"/>
    </xf>
    <xf numFmtId="14" fontId="3" fillId="0" borderId="9" xfId="0" applyNumberFormat="1" applyFont="1" applyBorder="1" applyAlignment="1">
      <alignment horizontal="left" vertical="center" wrapText="1"/>
    </xf>
    <xf numFmtId="14" fontId="3" fillId="2" borderId="10" xfId="0" applyNumberFormat="1" applyFont="1" applyFill="1" applyBorder="1" applyAlignment="1" applyProtection="1">
      <alignment horizontal="left" vertical="center" wrapText="1"/>
      <protection locked="0"/>
    </xf>
    <xf numFmtId="14" fontId="3" fillId="0" borderId="1" xfId="0" applyNumberFormat="1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8" fontId="9" fillId="2" borderId="4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/>
    </xf>
    <xf numFmtId="166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14" fillId="0" borderId="0" xfId="1" applyNumberFormat="1" applyFont="1" applyFill="1" applyBorder="1" applyAlignment="1" applyProtection="1">
      <alignment vertical="center"/>
    </xf>
    <xf numFmtId="166" fontId="10" fillId="0" borderId="0" xfId="1" applyNumberFormat="1" applyFont="1" applyFill="1" applyBorder="1" applyAlignment="1" applyProtection="1">
      <alignment horizontal="center" vertical="center"/>
    </xf>
    <xf numFmtId="44" fontId="10" fillId="0" borderId="0" xfId="1" applyFont="1" applyFill="1" applyBorder="1" applyAlignment="1" applyProtection="1">
      <alignment horizontal="center" vertical="center"/>
    </xf>
    <xf numFmtId="166" fontId="14" fillId="0" borderId="0" xfId="1" applyNumberFormat="1" applyFont="1" applyFill="1" applyBorder="1" applyAlignment="1" applyProtection="1">
      <alignment horizontal="center" vertical="center"/>
    </xf>
    <xf numFmtId="1" fontId="14" fillId="0" borderId="1" xfId="1" applyNumberFormat="1" applyFont="1" applyFill="1" applyBorder="1" applyAlignment="1" applyProtection="1">
      <alignment horizontal="center" vertical="center" wrapText="1"/>
    </xf>
    <xf numFmtId="44" fontId="10" fillId="0" borderId="0" xfId="1" applyFont="1" applyFill="1" applyBorder="1" applyProtection="1"/>
    <xf numFmtId="49" fontId="10" fillId="0" borderId="0" xfId="1" applyNumberFormat="1" applyFont="1" applyFill="1" applyBorder="1" applyAlignment="1" applyProtection="1">
      <alignment horizontal="center" vertical="center"/>
    </xf>
    <xf numFmtId="166" fontId="10" fillId="0" borderId="0" xfId="1" applyNumberFormat="1" applyFont="1" applyFill="1" applyBorder="1" applyAlignment="1" applyProtection="1"/>
    <xf numFmtId="166" fontId="10" fillId="0" borderId="0" xfId="1" applyNumberFormat="1" applyFont="1" applyFill="1" applyBorder="1" applyAlignment="1" applyProtection="1">
      <alignment horizontal="center"/>
    </xf>
    <xf numFmtId="166" fontId="12" fillId="0" borderId="0" xfId="1" applyNumberFormat="1" applyFont="1" applyFill="1" applyBorder="1" applyAlignment="1" applyProtection="1">
      <alignment vertical="center"/>
    </xf>
    <xf numFmtId="165" fontId="10" fillId="0" borderId="1" xfId="1" applyNumberFormat="1" applyFont="1" applyFill="1" applyBorder="1" applyAlignment="1" applyProtection="1">
      <alignment horizontal="center" vertical="center"/>
    </xf>
    <xf numFmtId="14" fontId="5" fillId="3" borderId="29" xfId="0" applyNumberFormat="1" applyFont="1" applyFill="1" applyBorder="1" applyAlignment="1" applyProtection="1">
      <alignment horizontal="center" vertical="center" wrapText="1"/>
      <protection locked="0"/>
    </xf>
    <xf numFmtId="166" fontId="5" fillId="3" borderId="29" xfId="0" applyNumberFormat="1" applyFont="1" applyFill="1" applyBorder="1" applyAlignment="1" applyProtection="1">
      <alignment horizontal="center" vertical="center" wrapText="1"/>
      <protection locked="0"/>
    </xf>
    <xf numFmtId="1" fontId="5" fillId="3" borderId="29" xfId="0" applyNumberFormat="1" applyFont="1" applyFill="1" applyBorder="1" applyAlignment="1" applyProtection="1">
      <alignment horizontal="center" vertical="center" wrapText="1"/>
      <protection locked="0"/>
    </xf>
    <xf numFmtId="14" fontId="5" fillId="3" borderId="29" xfId="0" applyNumberFormat="1" applyFont="1" applyFill="1" applyBorder="1" applyAlignment="1" applyProtection="1">
      <alignment horizontal="left" vertical="center" wrapText="1"/>
      <protection locked="0"/>
    </xf>
    <xf numFmtId="14" fontId="5" fillId="3" borderId="30" xfId="0" applyNumberFormat="1" applyFont="1" applyFill="1" applyBorder="1" applyAlignment="1" applyProtection="1">
      <alignment horizontal="left" vertical="center" wrapText="1"/>
      <protection locked="0"/>
    </xf>
    <xf numFmtId="1" fontId="5" fillId="3" borderId="34" xfId="0" applyNumberFormat="1" applyFont="1" applyFill="1" applyBorder="1" applyAlignment="1" applyProtection="1">
      <alignment horizontal="center" vertical="center" wrapText="1"/>
      <protection locked="0"/>
    </xf>
    <xf numFmtId="166" fontId="5" fillId="3" borderId="34" xfId="0" applyNumberFormat="1" applyFont="1" applyFill="1" applyBorder="1" applyAlignment="1" applyProtection="1">
      <alignment horizontal="center" vertical="center" wrapText="1"/>
      <protection locked="0"/>
    </xf>
    <xf numFmtId="165" fontId="10" fillId="0" borderId="22" xfId="1" applyNumberFormat="1" applyFont="1" applyFill="1" applyBorder="1" applyAlignment="1" applyProtection="1">
      <alignment horizontal="center" vertical="center"/>
    </xf>
    <xf numFmtId="166" fontId="14" fillId="0" borderId="0" xfId="1" applyNumberFormat="1" applyFont="1" applyFill="1" applyBorder="1" applyAlignment="1" applyProtection="1">
      <alignment horizontal="center" vertical="center" wrapText="1"/>
    </xf>
    <xf numFmtId="1" fontId="14" fillId="5" borderId="1" xfId="1" applyNumberFormat="1" applyFont="1" applyFill="1" applyBorder="1" applyAlignment="1" applyProtection="1">
      <alignment horizontal="center" vertical="center" wrapText="1"/>
    </xf>
    <xf numFmtId="14" fontId="14" fillId="0" borderId="20" xfId="1" applyNumberFormat="1" applyFont="1" applyFill="1" applyBorder="1" applyAlignment="1" applyProtection="1">
      <alignment horizontal="center" vertical="center" wrapText="1"/>
    </xf>
    <xf numFmtId="49" fontId="14" fillId="0" borderId="26" xfId="1" applyNumberFormat="1" applyFont="1" applyFill="1" applyBorder="1" applyAlignment="1" applyProtection="1">
      <alignment horizontal="center" vertical="center" wrapText="1"/>
    </xf>
    <xf numFmtId="49" fontId="14" fillId="5" borderId="26" xfId="1" applyNumberFormat="1" applyFont="1" applyFill="1" applyBorder="1" applyAlignment="1" applyProtection="1">
      <alignment horizontal="center" vertical="center" wrapText="1"/>
    </xf>
    <xf numFmtId="49" fontId="14" fillId="7" borderId="26" xfId="1" applyNumberFormat="1" applyFont="1" applyFill="1" applyBorder="1" applyAlignment="1" applyProtection="1">
      <alignment horizontal="center" vertical="center" wrapText="1"/>
    </xf>
    <xf numFmtId="49" fontId="14" fillId="0" borderId="35" xfId="1" applyNumberFormat="1" applyFont="1" applyFill="1" applyBorder="1" applyAlignment="1" applyProtection="1">
      <alignment horizontal="center" vertical="center" wrapText="1"/>
    </xf>
    <xf numFmtId="1" fontId="14" fillId="0" borderId="3" xfId="1" applyNumberFormat="1" applyFont="1" applyFill="1" applyBorder="1" applyAlignment="1" applyProtection="1">
      <alignment horizontal="center" vertical="center" wrapText="1"/>
    </xf>
    <xf numFmtId="165" fontId="10" fillId="0" borderId="0" xfId="1" applyNumberFormat="1" applyFont="1" applyFill="1" applyBorder="1" applyAlignment="1" applyProtection="1">
      <alignment horizontal="center" vertical="center"/>
    </xf>
    <xf numFmtId="49" fontId="14" fillId="0" borderId="37" xfId="1" applyNumberFormat="1" applyFont="1" applyFill="1" applyBorder="1" applyAlignment="1" applyProtection="1">
      <alignment horizontal="center" vertical="center"/>
    </xf>
    <xf numFmtId="165" fontId="14" fillId="0" borderId="0" xfId="1" applyNumberFormat="1" applyFont="1" applyFill="1" applyBorder="1" applyAlignment="1" applyProtection="1">
      <alignment horizontal="center" vertical="center" wrapText="1"/>
    </xf>
    <xf numFmtId="166" fontId="16" fillId="0" borderId="0" xfId="2" applyNumberFormat="1" applyFont="1"/>
    <xf numFmtId="0" fontId="26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5" borderId="26" xfId="0" applyFont="1" applyFill="1" applyBorder="1" applyAlignment="1">
      <alignment horizontal="center" vertical="center" wrapText="1"/>
    </xf>
    <xf numFmtId="0" fontId="26" fillId="7" borderId="26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15" fillId="0" borderId="1" xfId="0" applyNumberFormat="1" applyFont="1" applyBorder="1"/>
    <xf numFmtId="1" fontId="15" fillId="0" borderId="0" xfId="0" applyNumberFormat="1" applyFont="1"/>
    <xf numFmtId="8" fontId="15" fillId="0" borderId="1" xfId="0" applyNumberFormat="1" applyFont="1" applyBorder="1"/>
    <xf numFmtId="0" fontId="15" fillId="0" borderId="0" xfId="0" applyFont="1"/>
    <xf numFmtId="0" fontId="17" fillId="0" borderId="0" xfId="0" applyFont="1"/>
    <xf numFmtId="0" fontId="15" fillId="0" borderId="0" xfId="0" applyFont="1" applyAlignment="1">
      <alignment horizontal="center"/>
    </xf>
    <xf numFmtId="1" fontId="14" fillId="5" borderId="2" xfId="1" applyNumberFormat="1" applyFont="1" applyFill="1" applyBorder="1" applyAlignment="1" applyProtection="1">
      <alignment horizontal="center" vertical="center" wrapText="1"/>
    </xf>
    <xf numFmtId="165" fontId="10" fillId="0" borderId="29" xfId="1" applyNumberFormat="1" applyFont="1" applyFill="1" applyBorder="1" applyAlignment="1" applyProtection="1">
      <alignment horizontal="center" vertical="center"/>
    </xf>
    <xf numFmtId="165" fontId="10" fillId="9" borderId="22" xfId="1" applyNumberFormat="1" applyFont="1" applyFill="1" applyBorder="1" applyAlignment="1" applyProtection="1">
      <alignment horizontal="center" vertical="center"/>
    </xf>
    <xf numFmtId="8" fontId="15" fillId="9" borderId="1" xfId="0" applyNumberFormat="1" applyFont="1" applyFill="1" applyBorder="1"/>
    <xf numFmtId="8" fontId="15" fillId="9" borderId="1" xfId="0" applyNumberFormat="1" applyFont="1" applyFill="1" applyBorder="1" applyAlignment="1">
      <alignment horizontal="center"/>
    </xf>
    <xf numFmtId="165" fontId="10" fillId="9" borderId="29" xfId="1" applyNumberFormat="1" applyFont="1" applyFill="1" applyBorder="1" applyAlignment="1" applyProtection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65" fontId="10" fillId="9" borderId="1" xfId="1" applyNumberFormat="1" applyFont="1" applyFill="1" applyBorder="1" applyAlignment="1" applyProtection="1">
      <alignment horizontal="center" vertical="center"/>
    </xf>
    <xf numFmtId="8" fontId="15" fillId="5" borderId="1" xfId="0" applyNumberFormat="1" applyFont="1" applyFill="1" applyBorder="1"/>
    <xf numFmtId="8" fontId="15" fillId="7" borderId="1" xfId="0" applyNumberFormat="1" applyFont="1" applyFill="1" applyBorder="1"/>
    <xf numFmtId="8" fontId="26" fillId="0" borderId="6" xfId="0" applyNumberFormat="1" applyFont="1" applyBorder="1"/>
    <xf numFmtId="8" fontId="26" fillId="5" borderId="6" xfId="0" applyNumberFormat="1" applyFont="1" applyFill="1" applyBorder="1"/>
    <xf numFmtId="8" fontId="26" fillId="7" borderId="6" xfId="0" applyNumberFormat="1" applyFont="1" applyFill="1" applyBorder="1"/>
    <xf numFmtId="1" fontId="14" fillId="10" borderId="22" xfId="1" applyNumberFormat="1" applyFont="1" applyFill="1" applyBorder="1" applyAlignment="1" applyProtection="1">
      <alignment horizontal="center" vertical="center" wrapText="1"/>
    </xf>
    <xf numFmtId="1" fontId="14" fillId="10" borderId="1" xfId="1" applyNumberFormat="1" applyFont="1" applyFill="1" applyBorder="1" applyAlignment="1" applyProtection="1">
      <alignment horizontal="center" vertical="center" wrapText="1"/>
    </xf>
    <xf numFmtId="166" fontId="14" fillId="10" borderId="1" xfId="1" applyNumberFormat="1" applyFont="1" applyFill="1" applyBorder="1" applyAlignment="1" applyProtection="1">
      <alignment horizontal="center" vertical="center" wrapText="1"/>
    </xf>
    <xf numFmtId="1" fontId="14" fillId="10" borderId="3" xfId="1" applyNumberFormat="1" applyFont="1" applyFill="1" applyBorder="1" applyAlignment="1" applyProtection="1">
      <alignment horizontal="center" vertical="center" wrapText="1"/>
    </xf>
    <xf numFmtId="1" fontId="15" fillId="10" borderId="22" xfId="0" applyNumberFormat="1" applyFont="1" applyFill="1" applyBorder="1"/>
    <xf numFmtId="1" fontId="15" fillId="10" borderId="1" xfId="0" applyNumberFormat="1" applyFont="1" applyFill="1" applyBorder="1"/>
    <xf numFmtId="1" fontId="15" fillId="10" borderId="1" xfId="0" applyNumberFormat="1" applyFont="1" applyFill="1" applyBorder="1" applyAlignment="1">
      <alignment horizontal="center"/>
    </xf>
    <xf numFmtId="1" fontId="15" fillId="10" borderId="23" xfId="0" applyNumberFormat="1" applyFont="1" applyFill="1" applyBorder="1"/>
    <xf numFmtId="1" fontId="15" fillId="10" borderId="40" xfId="0" applyNumberFormat="1" applyFont="1" applyFill="1" applyBorder="1"/>
    <xf numFmtId="0" fontId="26" fillId="10" borderId="39" xfId="0" applyFont="1" applyFill="1" applyBorder="1" applyAlignment="1">
      <alignment horizontal="center" vertical="center" wrapText="1"/>
    </xf>
    <xf numFmtId="0" fontId="26" fillId="10" borderId="41" xfId="0" applyFont="1" applyFill="1" applyBorder="1" applyAlignment="1">
      <alignment horizontal="center" vertical="center" wrapText="1"/>
    </xf>
    <xf numFmtId="8" fontId="15" fillId="10" borderId="6" xfId="0" applyNumberFormat="1" applyFont="1" applyFill="1" applyBorder="1" applyAlignment="1">
      <alignment horizontal="center"/>
    </xf>
    <xf numFmtId="0" fontId="15" fillId="10" borderId="38" xfId="0" applyFont="1" applyFill="1" applyBorder="1"/>
    <xf numFmtId="0" fontId="15" fillId="10" borderId="40" xfId="0" applyFont="1" applyFill="1" applyBorder="1"/>
    <xf numFmtId="1" fontId="28" fillId="10" borderId="1" xfId="0" applyNumberFormat="1" applyFont="1" applyFill="1" applyBorder="1"/>
    <xf numFmtId="8" fontId="26" fillId="5" borderId="6" xfId="0" applyNumberFormat="1" applyFont="1" applyFill="1" applyBorder="1" applyAlignment="1">
      <alignment horizontal="center"/>
    </xf>
    <xf numFmtId="8" fontId="29" fillId="2" borderId="8" xfId="0" applyNumberFormat="1" applyFont="1" applyFill="1" applyBorder="1" applyAlignment="1">
      <alignment horizontal="center" vertical="center" wrapText="1"/>
    </xf>
    <xf numFmtId="0" fontId="0" fillId="0" borderId="1" xfId="0" applyBorder="1"/>
    <xf numFmtId="1" fontId="5" fillId="0" borderId="29" xfId="0" applyNumberFormat="1" applyFont="1" applyBorder="1" applyAlignment="1" applyProtection="1">
      <alignment horizontal="center" vertical="center" wrapText="1"/>
      <protection locked="0"/>
    </xf>
    <xf numFmtId="166" fontId="5" fillId="0" borderId="29" xfId="0" applyNumberFormat="1" applyFont="1" applyBorder="1" applyAlignment="1" applyProtection="1">
      <alignment horizontal="center" vertical="center" wrapText="1"/>
      <protection locked="0"/>
    </xf>
    <xf numFmtId="0" fontId="5" fillId="3" borderId="29" xfId="0" applyFont="1" applyFill="1" applyBorder="1" applyAlignment="1" applyProtection="1">
      <alignment horizontal="left" vertical="center" wrapText="1"/>
      <protection locked="0"/>
    </xf>
    <xf numFmtId="0" fontId="7" fillId="3" borderId="29" xfId="0" applyFont="1" applyFill="1" applyBorder="1" applyAlignment="1" applyProtection="1">
      <alignment horizontal="left" vertical="center" wrapText="1"/>
      <protection locked="0"/>
    </xf>
    <xf numFmtId="49" fontId="5" fillId="3" borderId="29" xfId="0" applyNumberFormat="1" applyFont="1" applyFill="1" applyBorder="1" applyAlignment="1" applyProtection="1">
      <alignment horizontal="left" vertical="center" wrapText="1"/>
      <protection locked="0"/>
    </xf>
    <xf numFmtId="49" fontId="5" fillId="3" borderId="34" xfId="0" applyNumberFormat="1" applyFont="1" applyFill="1" applyBorder="1" applyAlignment="1" applyProtection="1">
      <alignment horizontal="left" vertical="center" wrapText="1"/>
      <protection locked="0"/>
    </xf>
    <xf numFmtId="14" fontId="5" fillId="3" borderId="30" xfId="0" applyNumberFormat="1" applyFont="1" applyFill="1" applyBorder="1" applyAlignment="1" applyProtection="1">
      <alignment horizontal="center" vertical="center" wrapText="1"/>
      <protection locked="0"/>
    </xf>
    <xf numFmtId="49" fontId="19" fillId="0" borderId="1" xfId="0" applyNumberFormat="1" applyFont="1" applyBorder="1" applyAlignment="1" applyProtection="1">
      <alignment horizontal="center" vertical="center" wrapText="1"/>
      <protection locked="0"/>
    </xf>
    <xf numFmtId="49" fontId="7" fillId="0" borderId="1" xfId="0" applyNumberFormat="1" applyFont="1" applyBorder="1" applyAlignment="1" applyProtection="1">
      <alignment horizontal="center" vertical="center" wrapText="1"/>
      <protection locked="0"/>
    </xf>
    <xf numFmtId="49" fontId="19" fillId="5" borderId="3" xfId="0" applyNumberFormat="1" applyFont="1" applyFill="1" applyBorder="1" applyAlignment="1">
      <alignment horizontal="center" vertical="center" wrapText="1"/>
    </xf>
    <xf numFmtId="49" fontId="19" fillId="0" borderId="28" xfId="0" applyNumberFormat="1" applyFont="1" applyBorder="1" applyAlignment="1">
      <alignment horizontal="center" vertical="center" wrapText="1"/>
    </xf>
    <xf numFmtId="4" fontId="19" fillId="5" borderId="20" xfId="0" applyNumberFormat="1" applyFont="1" applyFill="1" applyBorder="1" applyAlignment="1">
      <alignment horizontal="center" vertical="center" wrapText="1"/>
    </xf>
    <xf numFmtId="49" fontId="19" fillId="0" borderId="0" xfId="0" applyNumberFormat="1" applyFont="1" applyAlignment="1">
      <alignment horizontal="center" vertical="center" wrapText="1"/>
    </xf>
    <xf numFmtId="49" fontId="5" fillId="5" borderId="3" xfId="0" applyNumberFormat="1" applyFont="1" applyFill="1" applyBorder="1" applyAlignment="1">
      <alignment horizontal="center" vertical="center" wrapText="1"/>
    </xf>
    <xf numFmtId="14" fontId="5" fillId="0" borderId="29" xfId="0" applyNumberFormat="1" applyFont="1" applyBorder="1" applyAlignment="1">
      <alignment horizontal="left" vertical="center" wrapText="1"/>
    </xf>
    <xf numFmtId="4" fontId="5" fillId="5" borderId="22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67" fontId="3" fillId="0" borderId="29" xfId="0" applyNumberFormat="1" applyFont="1" applyBorder="1" applyAlignment="1">
      <alignment horizontal="center" vertical="center" wrapText="1"/>
    </xf>
    <xf numFmtId="1" fontId="5" fillId="5" borderId="3" xfId="0" applyNumberFormat="1" applyFont="1" applyFill="1" applyBorder="1" applyAlignment="1">
      <alignment horizontal="center" vertical="center" wrapText="1"/>
    </xf>
    <xf numFmtId="8" fontId="9" fillId="0" borderId="29" xfId="0" applyNumberFormat="1" applyFont="1" applyBorder="1" applyAlignment="1">
      <alignment horizontal="center" vertical="center" wrapText="1"/>
    </xf>
    <xf numFmtId="1" fontId="21" fillId="5" borderId="1" xfId="0" applyNumberFormat="1" applyFont="1" applyFill="1" applyBorder="1" applyAlignment="1">
      <alignment horizontal="center" vertical="center"/>
    </xf>
    <xf numFmtId="14" fontId="21" fillId="0" borderId="17" xfId="0" applyNumberFormat="1" applyFont="1" applyBorder="1" applyAlignment="1">
      <alignment horizontal="left" vertical="center"/>
    </xf>
    <xf numFmtId="166" fontId="21" fillId="0" borderId="5" xfId="0" applyNumberFormat="1" applyFont="1" applyBorder="1" applyAlignment="1">
      <alignment horizontal="center" vertical="center"/>
    </xf>
    <xf numFmtId="8" fontId="22" fillId="0" borderId="32" xfId="0" applyNumberFormat="1" applyFont="1" applyBorder="1" applyAlignment="1">
      <alignment horizontal="center" vertical="center" wrapText="1"/>
    </xf>
    <xf numFmtId="166" fontId="5" fillId="0" borderId="29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4" fontId="5" fillId="0" borderId="3" xfId="0" applyNumberFormat="1" applyFont="1" applyBorder="1" applyAlignment="1">
      <alignment horizontal="left" vertical="center"/>
    </xf>
    <xf numFmtId="166" fontId="5" fillId="0" borderId="36" xfId="0" applyNumberFormat="1" applyFont="1" applyBorder="1" applyAlignment="1">
      <alignment horizontal="center" vertical="center"/>
    </xf>
    <xf numFmtId="40" fontId="5" fillId="3" borderId="33" xfId="0" applyNumberFormat="1" applyFont="1" applyFill="1" applyBorder="1" applyAlignment="1">
      <alignment horizontal="center" vertical="center"/>
    </xf>
    <xf numFmtId="40" fontId="7" fillId="0" borderId="30" xfId="0" applyNumberFormat="1" applyFont="1" applyBorder="1" applyAlignment="1">
      <alignment horizontal="center" vertical="center" wrapText="1"/>
    </xf>
    <xf numFmtId="14" fontId="19" fillId="0" borderId="30" xfId="0" applyNumberFormat="1" applyFont="1" applyBorder="1" applyAlignment="1">
      <alignment horizontal="center" vertical="center" wrapText="1"/>
    </xf>
    <xf numFmtId="14" fontId="19" fillId="5" borderId="43" xfId="0" applyNumberFormat="1" applyFont="1" applyFill="1" applyBorder="1" applyAlignment="1">
      <alignment horizontal="center" vertical="center" wrapText="1"/>
    </xf>
    <xf numFmtId="4" fontId="19" fillId="5" borderId="24" xfId="0" applyNumberFormat="1" applyFont="1" applyFill="1" applyBorder="1" applyAlignment="1">
      <alignment horizontal="center" vertical="center" wrapText="1"/>
    </xf>
    <xf numFmtId="49" fontId="19" fillId="5" borderId="25" xfId="0" applyNumberFormat="1" applyFont="1" applyFill="1" applyBorder="1" applyAlignment="1">
      <alignment horizontal="center" vertical="center" wrapText="1"/>
    </xf>
    <xf numFmtId="49" fontId="19" fillId="7" borderId="24" xfId="0" applyNumberFormat="1" applyFont="1" applyFill="1" applyBorder="1" applyAlignment="1">
      <alignment horizontal="center" vertical="center" wrapText="1"/>
    </xf>
    <xf numFmtId="49" fontId="19" fillId="7" borderId="25" xfId="0" applyNumberFormat="1" applyFont="1" applyFill="1" applyBorder="1" applyAlignment="1">
      <alignment horizontal="center" vertical="center" wrapText="1"/>
    </xf>
    <xf numFmtId="40" fontId="7" fillId="5" borderId="24" xfId="0" applyNumberFormat="1" applyFont="1" applyFill="1" applyBorder="1" applyAlignment="1">
      <alignment horizontal="center" vertical="center" wrapText="1"/>
    </xf>
    <xf numFmtId="40" fontId="7" fillId="5" borderId="27" xfId="0" applyNumberFormat="1" applyFont="1" applyFill="1" applyBorder="1" applyAlignment="1">
      <alignment horizontal="center" vertical="center" wrapText="1"/>
    </xf>
    <xf numFmtId="4" fontId="7" fillId="5" borderId="27" xfId="0" applyNumberFormat="1" applyFont="1" applyFill="1" applyBorder="1" applyAlignment="1">
      <alignment horizontal="center" vertical="center" wrapText="1"/>
    </xf>
    <xf numFmtId="4" fontId="7" fillId="5" borderId="25" xfId="0" applyNumberFormat="1" applyFont="1" applyFill="1" applyBorder="1" applyAlignment="1">
      <alignment horizontal="center" vertical="center" wrapText="1"/>
    </xf>
    <xf numFmtId="40" fontId="7" fillId="7" borderId="24" xfId="0" applyNumberFormat="1" applyFont="1" applyFill="1" applyBorder="1" applyAlignment="1">
      <alignment horizontal="center" vertical="center" wrapText="1"/>
    </xf>
    <xf numFmtId="4" fontId="7" fillId="7" borderId="27" xfId="0" applyNumberFormat="1" applyFont="1" applyFill="1" applyBorder="1" applyAlignment="1">
      <alignment horizontal="center" vertical="center" wrapText="1"/>
    </xf>
    <xf numFmtId="4" fontId="7" fillId="7" borderId="25" xfId="0" applyNumberFormat="1" applyFont="1" applyFill="1" applyBorder="1" applyAlignment="1">
      <alignment horizontal="center" vertical="center" wrapText="1"/>
    </xf>
    <xf numFmtId="166" fontId="5" fillId="0" borderId="25" xfId="0" applyNumberFormat="1" applyFont="1" applyBorder="1" applyAlignment="1">
      <alignment horizontal="center" vertical="center"/>
    </xf>
    <xf numFmtId="40" fontId="5" fillId="3" borderId="18" xfId="0" applyNumberFormat="1" applyFont="1" applyFill="1" applyBorder="1" applyAlignment="1">
      <alignment horizontal="center" vertical="center"/>
    </xf>
    <xf numFmtId="40" fontId="5" fillId="3" borderId="4" xfId="0" applyNumberFormat="1" applyFont="1" applyFill="1" applyBorder="1" applyAlignment="1">
      <alignment horizontal="center" vertical="center"/>
    </xf>
    <xf numFmtId="14" fontId="5" fillId="3" borderId="4" xfId="0" applyNumberFormat="1" applyFont="1" applyFill="1" applyBorder="1" applyAlignment="1">
      <alignment horizontal="center" vertical="center"/>
    </xf>
    <xf numFmtId="4" fontId="5" fillId="3" borderId="4" xfId="0" applyNumberFormat="1" applyFont="1" applyFill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166" fontId="5" fillId="5" borderId="21" xfId="0" applyNumberFormat="1" applyFont="1" applyFill="1" applyBorder="1" applyAlignment="1">
      <alignment horizontal="center" vertical="center"/>
    </xf>
    <xf numFmtId="40" fontId="5" fillId="3" borderId="2" xfId="0" applyNumberFormat="1" applyFont="1" applyFill="1" applyBorder="1" applyAlignment="1">
      <alignment horizontal="center" vertical="center"/>
    </xf>
    <xf numFmtId="40" fontId="5" fillId="3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4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6" fontId="5" fillId="6" borderId="23" xfId="0" applyNumberFormat="1" applyFont="1" applyFill="1" applyBorder="1" applyAlignment="1">
      <alignment horizontal="center" vertical="center"/>
    </xf>
    <xf numFmtId="1" fontId="5" fillId="5" borderId="6" xfId="0" applyNumberFormat="1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left" vertical="center"/>
    </xf>
    <xf numFmtId="49" fontId="5" fillId="3" borderId="2" xfId="0" applyNumberFormat="1" applyFont="1" applyFill="1" applyBorder="1" applyAlignment="1">
      <alignment horizontal="center" vertical="center"/>
    </xf>
    <xf numFmtId="40" fontId="7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8" fontId="23" fillId="2" borderId="1" xfId="0" applyNumberFormat="1" applyFont="1" applyFill="1" applyBorder="1" applyAlignment="1">
      <alignment horizontal="center" vertical="center"/>
    </xf>
    <xf numFmtId="4" fontId="7" fillId="0" borderId="23" xfId="0" applyNumberFormat="1" applyFont="1" applyBorder="1" applyAlignment="1">
      <alignment horizontal="center" vertical="center"/>
    </xf>
    <xf numFmtId="4" fontId="5" fillId="0" borderId="2" xfId="0" applyNumberFormat="1" applyFont="1" applyBorder="1" applyAlignment="1">
      <alignment horizontal="center" vertical="center"/>
    </xf>
    <xf numFmtId="4" fontId="7" fillId="0" borderId="0" xfId="0" applyNumberFormat="1" applyFont="1" applyAlignment="1">
      <alignment horizontal="center" vertical="center" wrapText="1"/>
    </xf>
    <xf numFmtId="4" fontId="3" fillId="5" borderId="22" xfId="0" applyNumberFormat="1" applyFont="1" applyFill="1" applyBorder="1" applyAlignment="1">
      <alignment horizontal="center" vertical="center" wrapText="1"/>
    </xf>
    <xf numFmtId="166" fontId="3" fillId="0" borderId="29" xfId="0" applyNumberFormat="1" applyFont="1" applyBorder="1" applyAlignment="1">
      <alignment horizontal="center" vertical="center" wrapText="1"/>
    </xf>
    <xf numFmtId="8" fontId="23" fillId="0" borderId="1" xfId="0" applyNumberFormat="1" applyFont="1" applyBorder="1" applyAlignment="1">
      <alignment horizontal="center" vertical="center"/>
    </xf>
    <xf numFmtId="14" fontId="5" fillId="0" borderId="29" xfId="0" applyNumberFormat="1" applyFont="1" applyBorder="1" applyAlignment="1">
      <alignment horizontal="center" vertical="center" wrapText="1"/>
    </xf>
    <xf numFmtId="1" fontId="3" fillId="5" borderId="1" xfId="0" applyNumberFormat="1" applyFont="1" applyFill="1" applyBorder="1" applyAlignment="1">
      <alignment horizontal="center" vertical="center"/>
    </xf>
    <xf numFmtId="14" fontId="3" fillId="0" borderId="17" xfId="0" applyNumberFormat="1" applyFont="1" applyBorder="1" applyAlignment="1">
      <alignment horizontal="left" vertical="center"/>
    </xf>
    <xf numFmtId="166" fontId="3" fillId="0" borderId="5" xfId="0" applyNumberFormat="1" applyFont="1" applyBorder="1" applyAlignment="1">
      <alignment horizontal="center" vertical="center"/>
    </xf>
    <xf numFmtId="8" fontId="20" fillId="0" borderId="32" xfId="0" applyNumberFormat="1" applyFont="1" applyBorder="1" applyAlignment="1">
      <alignment horizontal="center" vertical="center" wrapText="1"/>
    </xf>
    <xf numFmtId="14" fontId="7" fillId="0" borderId="30" xfId="0" applyNumberFormat="1" applyFont="1" applyBorder="1" applyAlignment="1">
      <alignment horizontal="center" vertical="center" wrapText="1"/>
    </xf>
    <xf numFmtId="14" fontId="7" fillId="5" borderId="43" xfId="0" applyNumberFormat="1" applyFont="1" applyFill="1" applyBorder="1" applyAlignment="1">
      <alignment horizontal="center" vertical="center" wrapText="1"/>
    </xf>
    <xf numFmtId="4" fontId="7" fillId="5" borderId="24" xfId="0" applyNumberFormat="1" applyFont="1" applyFill="1" applyBorder="1" applyAlignment="1">
      <alignment horizontal="center" vertical="center" wrapText="1"/>
    </xf>
    <xf numFmtId="49" fontId="7" fillId="5" borderId="25" xfId="0" applyNumberFormat="1" applyFont="1" applyFill="1" applyBorder="1" applyAlignment="1">
      <alignment horizontal="center" vertical="center" wrapText="1"/>
    </xf>
    <xf numFmtId="49" fontId="7" fillId="7" borderId="24" xfId="0" applyNumberFormat="1" applyFont="1" applyFill="1" applyBorder="1" applyAlignment="1">
      <alignment horizontal="center" vertical="center" wrapText="1"/>
    </xf>
    <xf numFmtId="49" fontId="7" fillId="7" borderId="25" xfId="0" applyNumberFormat="1" applyFont="1" applyFill="1" applyBorder="1" applyAlignment="1">
      <alignment horizontal="center" vertical="center" wrapText="1"/>
    </xf>
    <xf numFmtId="40" fontId="7" fillId="11" borderId="24" xfId="0" applyNumberFormat="1" applyFont="1" applyFill="1" applyBorder="1" applyAlignment="1">
      <alignment horizontal="center" vertical="center" wrapText="1"/>
    </xf>
    <xf numFmtId="4" fontId="7" fillId="11" borderId="27" xfId="0" applyNumberFormat="1" applyFont="1" applyFill="1" applyBorder="1" applyAlignment="1">
      <alignment horizontal="center" vertical="center" wrapText="1"/>
    </xf>
    <xf numFmtId="4" fontId="7" fillId="11" borderId="42" xfId="0" applyNumberFormat="1" applyFont="1" applyFill="1" applyBorder="1" applyAlignment="1">
      <alignment horizontal="center" vertical="center" wrapText="1"/>
    </xf>
    <xf numFmtId="4" fontId="7" fillId="11" borderId="1" xfId="0" applyNumberFormat="1" applyFont="1" applyFill="1" applyBorder="1" applyAlignment="1">
      <alignment horizontal="center" vertical="center" wrapText="1"/>
    </xf>
    <xf numFmtId="166" fontId="5" fillId="11" borderId="23" xfId="0" applyNumberFormat="1" applyFont="1" applyFill="1" applyBorder="1" applyAlignment="1">
      <alignment horizontal="center" vertical="center"/>
    </xf>
    <xf numFmtId="49" fontId="8" fillId="0" borderId="29" xfId="0" applyNumberFormat="1" applyFont="1" applyBorder="1" applyAlignment="1">
      <alignment horizontal="left" vertical="center" wrapText="1"/>
    </xf>
    <xf numFmtId="49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 vertical="center" wrapText="1"/>
    </xf>
    <xf numFmtId="49" fontId="7" fillId="5" borderId="3" xfId="0" applyNumberFormat="1" applyFont="1" applyFill="1" applyBorder="1" applyAlignment="1">
      <alignment horizontal="center" vertical="center" wrapText="1"/>
    </xf>
    <xf numFmtId="49" fontId="7" fillId="0" borderId="28" xfId="0" applyNumberFormat="1" applyFont="1" applyBorder="1" applyAlignment="1">
      <alignment horizontal="center" vertical="center" wrapText="1"/>
    </xf>
    <xf numFmtId="4" fontId="7" fillId="5" borderId="20" xfId="0" applyNumberFormat="1" applyFont="1" applyFill="1" applyBorder="1" applyAlignment="1">
      <alignment horizontal="center" vertical="center" wrapText="1"/>
    </xf>
    <xf numFmtId="14" fontId="21" fillId="0" borderId="17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166" fontId="5" fillId="3" borderId="23" xfId="0" applyNumberFormat="1" applyFont="1" applyFill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3" xfId="0" applyNumberFormat="1" applyFont="1" applyBorder="1" applyAlignment="1" applyProtection="1">
      <alignment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166" fontId="3" fillId="3" borderId="23" xfId="0" applyNumberFormat="1" applyFont="1" applyFill="1" applyBorder="1" applyAlignment="1" applyProtection="1">
      <alignment horizontal="center" vertical="center"/>
      <protection locked="0"/>
    </xf>
    <xf numFmtId="166" fontId="3" fillId="3" borderId="23" xfId="0" applyNumberFormat="1" applyFont="1" applyFill="1" applyBorder="1" applyAlignment="1">
      <alignment horizontal="center" vertical="center"/>
    </xf>
    <xf numFmtId="166" fontId="21" fillId="3" borderId="23" xfId="0" applyNumberFormat="1" applyFont="1" applyFill="1" applyBorder="1" applyAlignment="1">
      <alignment horizontal="center" vertical="center"/>
    </xf>
    <xf numFmtId="166" fontId="21" fillId="0" borderId="32" xfId="0" applyNumberFormat="1" applyFont="1" applyBorder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4" fontId="19" fillId="7" borderId="45" xfId="0" applyNumberFormat="1" applyFont="1" applyFill="1" applyBorder="1" applyAlignment="1">
      <alignment horizontal="center" vertical="center" wrapText="1"/>
    </xf>
    <xf numFmtId="4" fontId="19" fillId="11" borderId="45" xfId="0" applyNumberFormat="1" applyFont="1" applyFill="1" applyBorder="1" applyAlignment="1">
      <alignment horizontal="center" vertical="center" wrapText="1"/>
    </xf>
    <xf numFmtId="4" fontId="7" fillId="7" borderId="45" xfId="0" applyNumberFormat="1" applyFont="1" applyFill="1" applyBorder="1" applyAlignment="1">
      <alignment horizontal="center" vertical="center" wrapText="1"/>
    </xf>
    <xf numFmtId="4" fontId="7" fillId="7" borderId="42" xfId="0" applyNumberFormat="1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4" fontId="7" fillId="7" borderId="1" xfId="0" applyNumberFormat="1" applyFont="1" applyFill="1" applyBorder="1" applyAlignment="1">
      <alignment horizontal="center" vertical="center" wrapText="1"/>
    </xf>
    <xf numFmtId="0" fontId="15" fillId="9" borderId="1" xfId="0" applyFont="1" applyFill="1" applyBorder="1"/>
    <xf numFmtId="166" fontId="31" fillId="3" borderId="29" xfId="0" applyNumberFormat="1" applyFont="1" applyFill="1" applyBorder="1" applyAlignment="1" applyProtection="1">
      <alignment horizontal="left" vertical="center" wrapText="1" indent="1"/>
      <protection locked="0"/>
    </xf>
    <xf numFmtId="8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8" fontId="10" fillId="0" borderId="0" xfId="1" applyNumberFormat="1" applyFont="1" applyFill="1" applyBorder="1" applyProtection="1"/>
    <xf numFmtId="8" fontId="16" fillId="9" borderId="2" xfId="2" applyNumberFormat="1" applyFont="1" applyFill="1" applyBorder="1" applyAlignment="1">
      <alignment horizontal="center" vertical="center"/>
    </xf>
    <xf numFmtId="8" fontId="16" fillId="9" borderId="1" xfId="2" applyNumberFormat="1" applyFont="1" applyFill="1" applyBorder="1" applyAlignment="1">
      <alignment horizontal="center" vertical="center"/>
    </xf>
    <xf numFmtId="8" fontId="10" fillId="9" borderId="1" xfId="1" applyNumberFormat="1" applyFont="1" applyFill="1" applyBorder="1" applyAlignment="1" applyProtection="1">
      <alignment horizontal="center" vertical="center" wrapText="1"/>
    </xf>
    <xf numFmtId="8" fontId="10" fillId="9" borderId="3" xfId="1" applyNumberFormat="1" applyFont="1" applyFill="1" applyBorder="1" applyAlignment="1" applyProtection="1">
      <alignment horizontal="center" vertical="center" wrapText="1"/>
    </xf>
    <xf numFmtId="8" fontId="16" fillId="0" borderId="2" xfId="2" applyNumberFormat="1" applyFont="1" applyBorder="1" applyAlignment="1">
      <alignment horizontal="center" vertical="center"/>
    </xf>
    <xf numFmtId="8" fontId="16" fillId="0" borderId="1" xfId="2" applyNumberFormat="1" applyFont="1" applyBorder="1" applyAlignment="1">
      <alignment horizontal="center" vertical="center"/>
    </xf>
    <xf numFmtId="8" fontId="10" fillId="0" borderId="1" xfId="1" applyNumberFormat="1" applyFont="1" applyFill="1" applyBorder="1" applyAlignment="1" applyProtection="1">
      <alignment horizontal="center" vertical="center" wrapText="1"/>
    </xf>
    <xf numFmtId="8" fontId="10" fillId="0" borderId="3" xfId="1" applyNumberFormat="1" applyFont="1" applyFill="1" applyBorder="1" applyAlignment="1" applyProtection="1">
      <alignment horizontal="center" vertical="center" wrapText="1"/>
    </xf>
    <xf numFmtId="8" fontId="10" fillId="0" borderId="1" xfId="1" applyNumberFormat="1" applyFont="1" applyFill="1" applyBorder="1" applyAlignment="1" applyProtection="1">
      <alignment horizontal="center"/>
    </xf>
    <xf numFmtId="8" fontId="10" fillId="0" borderId="3" xfId="1" applyNumberFormat="1" applyFont="1" applyFill="1" applyBorder="1" applyAlignment="1" applyProtection="1">
      <alignment horizontal="center"/>
    </xf>
    <xf numFmtId="8" fontId="10" fillId="9" borderId="1" xfId="1" applyNumberFormat="1" applyFont="1" applyFill="1" applyBorder="1" applyAlignment="1" applyProtection="1">
      <alignment horizontal="center"/>
    </xf>
    <xf numFmtId="8" fontId="10" fillId="9" borderId="3" xfId="1" applyNumberFormat="1" applyFont="1" applyFill="1" applyBorder="1" applyAlignment="1" applyProtection="1">
      <alignment horizontal="center"/>
    </xf>
    <xf numFmtId="8" fontId="16" fillId="9" borderId="2" xfId="2" applyNumberFormat="1" applyFont="1" applyFill="1" applyBorder="1" applyAlignment="1">
      <alignment horizontal="center" vertical="center" wrapText="1"/>
    </xf>
    <xf numFmtId="8" fontId="16" fillId="9" borderId="1" xfId="2" applyNumberFormat="1" applyFont="1" applyFill="1" applyBorder="1" applyAlignment="1">
      <alignment horizontal="center" vertical="center" wrapText="1"/>
    </xf>
    <xf numFmtId="8" fontId="10" fillId="0" borderId="2" xfId="1" applyNumberFormat="1" applyFont="1" applyFill="1" applyBorder="1" applyAlignment="1" applyProtection="1">
      <alignment horizontal="center"/>
    </xf>
    <xf numFmtId="8" fontId="10" fillId="9" borderId="2" xfId="1" applyNumberFormat="1" applyFont="1" applyFill="1" applyBorder="1" applyAlignment="1" applyProtection="1">
      <alignment horizontal="center"/>
    </xf>
    <xf numFmtId="8" fontId="14" fillId="5" borderId="2" xfId="1" applyNumberFormat="1" applyFont="1" applyFill="1" applyBorder="1" applyAlignment="1" applyProtection="1">
      <alignment horizontal="center" vertical="center"/>
    </xf>
    <xf numFmtId="8" fontId="14" fillId="5" borderId="1" xfId="1" applyNumberFormat="1" applyFont="1" applyFill="1" applyBorder="1" applyAlignment="1" applyProtection="1">
      <alignment horizontal="center" vertical="center"/>
    </xf>
    <xf numFmtId="8" fontId="14" fillId="5" borderId="1" xfId="1" applyNumberFormat="1" applyFont="1" applyFill="1" applyBorder="1" applyAlignment="1" applyProtection="1">
      <alignment horizontal="center"/>
    </xf>
    <xf numFmtId="8" fontId="14" fillId="5" borderId="3" xfId="1" applyNumberFormat="1" applyFont="1" applyFill="1" applyBorder="1" applyAlignment="1" applyProtection="1">
      <alignment horizontal="center"/>
    </xf>
    <xf numFmtId="8" fontId="14" fillId="7" borderId="1" xfId="1" applyNumberFormat="1" applyFont="1" applyFill="1" applyBorder="1" applyAlignment="1" applyProtection="1">
      <alignment horizontal="center"/>
    </xf>
    <xf numFmtId="8" fontId="14" fillId="7" borderId="3" xfId="1" applyNumberFormat="1" applyFont="1" applyFill="1" applyBorder="1" applyAlignment="1" applyProtection="1">
      <alignment horizontal="center"/>
    </xf>
    <xf numFmtId="8" fontId="16" fillId="9" borderId="3" xfId="2" applyNumberFormat="1" applyFont="1" applyFill="1" applyBorder="1" applyAlignment="1">
      <alignment horizontal="center" vertical="center"/>
    </xf>
    <xf numFmtId="8" fontId="10" fillId="9" borderId="22" xfId="1" applyNumberFormat="1" applyFont="1" applyFill="1" applyBorder="1" applyAlignment="1" applyProtection="1">
      <alignment horizontal="center" vertical="center"/>
    </xf>
    <xf numFmtId="8" fontId="16" fillId="0" borderId="3" xfId="2" applyNumberFormat="1" applyFont="1" applyBorder="1" applyAlignment="1">
      <alignment horizontal="center" vertical="center"/>
    </xf>
    <xf numFmtId="8" fontId="10" fillId="0" borderId="22" xfId="1" applyNumberFormat="1" applyFont="1" applyFill="1" applyBorder="1" applyAlignment="1" applyProtection="1">
      <alignment horizontal="center" vertical="center"/>
    </xf>
    <xf numFmtId="8" fontId="14" fillId="0" borderId="6" xfId="1" applyNumberFormat="1" applyFont="1" applyFill="1" applyBorder="1" applyAlignment="1" applyProtection="1">
      <alignment horizontal="center" vertical="center"/>
    </xf>
    <xf numFmtId="8" fontId="14" fillId="5" borderId="6" xfId="1" applyNumberFormat="1" applyFont="1" applyFill="1" applyBorder="1" applyAlignment="1" applyProtection="1">
      <alignment horizontal="center" vertical="center"/>
    </xf>
    <xf numFmtId="8" fontId="14" fillId="7" borderId="6" xfId="1" applyNumberFormat="1" applyFont="1" applyFill="1" applyBorder="1" applyAlignment="1" applyProtection="1">
      <alignment horizontal="center" vertical="center"/>
    </xf>
    <xf numFmtId="8" fontId="14" fillId="0" borderId="9" xfId="1" applyNumberFormat="1" applyFont="1" applyFill="1" applyBorder="1" applyAlignment="1" applyProtection="1">
      <alignment horizontal="center" vertical="center"/>
    </xf>
    <xf numFmtId="8" fontId="14" fillId="0" borderId="37" xfId="1" applyNumberFormat="1" applyFont="1" applyFill="1" applyBorder="1" applyAlignment="1" applyProtection="1">
      <alignment horizontal="center" vertical="center"/>
    </xf>
    <xf numFmtId="0" fontId="5" fillId="0" borderId="29" xfId="0" applyFont="1" applyBorder="1" applyAlignment="1" applyProtection="1">
      <alignment horizontal="left" vertical="center" wrapText="1"/>
      <protection locked="0"/>
    </xf>
    <xf numFmtId="14" fontId="5" fillId="0" borderId="29" xfId="0" applyNumberFormat="1" applyFont="1" applyBorder="1" applyAlignment="1" applyProtection="1">
      <alignment horizontal="left" vertical="center" wrapText="1"/>
      <protection locked="0"/>
    </xf>
    <xf numFmtId="14" fontId="5" fillId="0" borderId="29" xfId="0" applyNumberFormat="1" applyFont="1" applyBorder="1" applyAlignment="1" applyProtection="1">
      <alignment horizontal="center" vertical="center" wrapText="1"/>
      <protection locked="0"/>
    </xf>
    <xf numFmtId="8" fontId="3" fillId="2" borderId="29" xfId="0" applyNumberFormat="1" applyFont="1" applyFill="1" applyBorder="1" applyAlignment="1">
      <alignment horizontal="center" vertical="center" wrapText="1"/>
    </xf>
    <xf numFmtId="4" fontId="32" fillId="0" borderId="0" xfId="0" applyNumberFormat="1" applyFont="1" applyAlignment="1" applyProtection="1">
      <alignment horizontal="center"/>
      <protection locked="0"/>
    </xf>
    <xf numFmtId="4" fontId="30" fillId="0" borderId="0" xfId="0" applyNumberFormat="1" applyFont="1" applyAlignment="1" applyProtection="1">
      <alignment horizontal="center"/>
      <protection locked="0"/>
    </xf>
    <xf numFmtId="8" fontId="5" fillId="0" borderId="31" xfId="0" applyNumberFormat="1" applyFont="1" applyBorder="1" applyAlignment="1">
      <alignment horizontal="center" vertical="center" wrapText="1"/>
    </xf>
    <xf numFmtId="14" fontId="3" fillId="8" borderId="34" xfId="0" applyNumberFormat="1" applyFont="1" applyFill="1" applyBorder="1" applyAlignment="1">
      <alignment horizontal="center" vertical="center" wrapText="1"/>
    </xf>
    <xf numFmtId="166" fontId="21" fillId="5" borderId="37" xfId="0" applyNumberFormat="1" applyFont="1" applyFill="1" applyBorder="1" applyAlignment="1">
      <alignment horizontal="center" vertical="center"/>
    </xf>
    <xf numFmtId="49" fontId="3" fillId="8" borderId="38" xfId="0" applyNumberFormat="1" applyFont="1" applyFill="1" applyBorder="1" applyAlignment="1">
      <alignment horizontal="center" vertical="center" wrapText="1"/>
    </xf>
    <xf numFmtId="166" fontId="3" fillId="7" borderId="37" xfId="0" applyNumberFormat="1" applyFont="1" applyFill="1" applyBorder="1" applyAlignment="1">
      <alignment horizontal="center" vertical="center" wrapText="1"/>
    </xf>
    <xf numFmtId="166" fontId="3" fillId="5" borderId="37" xfId="0" applyNumberFormat="1" applyFont="1" applyFill="1" applyBorder="1" applyAlignment="1">
      <alignment horizontal="center" vertical="center" wrapText="1"/>
    </xf>
    <xf numFmtId="166" fontId="3" fillId="5" borderId="6" xfId="0" applyNumberFormat="1" applyFont="1" applyFill="1" applyBorder="1" applyAlignment="1">
      <alignment horizontal="center" vertical="center" wrapText="1"/>
    </xf>
    <xf numFmtId="166" fontId="3" fillId="5" borderId="38" xfId="0" applyNumberFormat="1" applyFont="1" applyFill="1" applyBorder="1" applyAlignment="1">
      <alignment horizontal="center" vertical="center" wrapText="1"/>
    </xf>
    <xf numFmtId="166" fontId="3" fillId="5" borderId="9" xfId="0" applyNumberFormat="1" applyFont="1" applyFill="1" applyBorder="1" applyAlignment="1">
      <alignment horizontal="center" vertical="center" wrapText="1"/>
    </xf>
    <xf numFmtId="166" fontId="3" fillId="7" borderId="14" xfId="0" applyNumberFormat="1" applyFont="1" applyFill="1" applyBorder="1" applyAlignment="1">
      <alignment horizontal="center" vertical="center" wrapText="1"/>
    </xf>
    <xf numFmtId="166" fontId="3" fillId="7" borderId="6" xfId="0" applyNumberFormat="1" applyFont="1" applyFill="1" applyBorder="1" applyAlignment="1">
      <alignment horizontal="center" vertical="center" wrapText="1"/>
    </xf>
    <xf numFmtId="166" fontId="3" fillId="7" borderId="38" xfId="0" applyNumberFormat="1" applyFont="1" applyFill="1" applyBorder="1" applyAlignment="1">
      <alignment horizontal="center" vertical="center" wrapText="1"/>
    </xf>
    <xf numFmtId="166" fontId="3" fillId="7" borderId="9" xfId="0" applyNumberFormat="1" applyFont="1" applyFill="1" applyBorder="1" applyAlignment="1">
      <alignment horizontal="center" vertical="center" wrapText="1"/>
    </xf>
    <xf numFmtId="166" fontId="3" fillId="5" borderId="37" xfId="0" applyNumberFormat="1" applyFont="1" applyFill="1" applyBorder="1" applyAlignment="1">
      <alignment horizontal="center" vertical="center"/>
    </xf>
    <xf numFmtId="166" fontId="3" fillId="11" borderId="14" xfId="0" applyNumberFormat="1" applyFont="1" applyFill="1" applyBorder="1" applyAlignment="1">
      <alignment horizontal="center" vertical="center" wrapText="1"/>
    </xf>
    <xf numFmtId="166" fontId="3" fillId="11" borderId="6" xfId="0" applyNumberFormat="1" applyFont="1" applyFill="1" applyBorder="1" applyAlignment="1">
      <alignment horizontal="center" vertical="center" wrapText="1"/>
    </xf>
    <xf numFmtId="166" fontId="3" fillId="11" borderId="9" xfId="0" applyNumberFormat="1" applyFont="1" applyFill="1" applyBorder="1" applyAlignment="1">
      <alignment horizontal="center" vertical="center" wrapText="1"/>
    </xf>
    <xf numFmtId="8" fontId="3" fillId="7" borderId="38" xfId="0" applyNumberFormat="1" applyFont="1" applyFill="1" applyBorder="1" applyAlignment="1">
      <alignment horizontal="center" vertical="center" wrapText="1"/>
    </xf>
    <xf numFmtId="14" fontId="21" fillId="0" borderId="44" xfId="0" applyNumberFormat="1" applyFont="1" applyBorder="1" applyAlignment="1">
      <alignment horizontal="center" vertical="center"/>
    </xf>
    <xf numFmtId="166" fontId="21" fillId="5" borderId="46" xfId="0" applyNumberFormat="1" applyFont="1" applyFill="1" applyBorder="1" applyAlignment="1">
      <alignment horizontal="center" vertical="center"/>
    </xf>
    <xf numFmtId="49" fontId="21" fillId="5" borderId="36" xfId="0" applyNumberFormat="1" applyFont="1" applyFill="1" applyBorder="1" applyAlignment="1">
      <alignment horizontal="center" vertical="center"/>
    </xf>
    <xf numFmtId="166" fontId="21" fillId="7" borderId="46" xfId="0" applyNumberFormat="1" applyFont="1" applyFill="1" applyBorder="1" applyAlignment="1">
      <alignment horizontal="center" vertical="center"/>
    </xf>
    <xf numFmtId="49" fontId="21" fillId="7" borderId="36" xfId="0" applyNumberFormat="1" applyFont="1" applyFill="1" applyBorder="1" applyAlignment="1">
      <alignment horizontal="center" vertical="center"/>
    </xf>
    <xf numFmtId="166" fontId="21" fillId="5" borderId="4" xfId="0" applyNumberFormat="1" applyFont="1" applyFill="1" applyBorder="1" applyAlignment="1">
      <alignment horizontal="center" vertical="center"/>
    </xf>
    <xf numFmtId="166" fontId="21" fillId="5" borderId="36" xfId="0" applyNumberFormat="1" applyFont="1" applyFill="1" applyBorder="1" applyAlignment="1">
      <alignment horizontal="center" vertical="center"/>
    </xf>
    <xf numFmtId="166" fontId="21" fillId="7" borderId="4" xfId="0" applyNumberFormat="1" applyFont="1" applyFill="1" applyBorder="1" applyAlignment="1">
      <alignment horizontal="center" vertical="center"/>
    </xf>
    <xf numFmtId="166" fontId="21" fillId="7" borderId="36" xfId="0" applyNumberFormat="1" applyFont="1" applyFill="1" applyBorder="1" applyAlignment="1">
      <alignment horizontal="center" vertical="center"/>
    </xf>
    <xf numFmtId="166" fontId="21" fillId="7" borderId="17" xfId="0" applyNumberFormat="1" applyFont="1" applyFill="1" applyBorder="1" applyAlignment="1">
      <alignment horizontal="center" vertical="center"/>
    </xf>
    <xf numFmtId="14" fontId="3" fillId="0" borderId="44" xfId="0" applyNumberFormat="1" applyFont="1" applyBorder="1" applyAlignment="1">
      <alignment horizontal="center" vertical="center"/>
    </xf>
    <xf numFmtId="166" fontId="3" fillId="5" borderId="46" xfId="0" applyNumberFormat="1" applyFont="1" applyFill="1" applyBorder="1" applyAlignment="1">
      <alignment horizontal="center" vertical="center"/>
    </xf>
    <xf numFmtId="49" fontId="3" fillId="5" borderId="36" xfId="0" applyNumberFormat="1" applyFont="1" applyFill="1" applyBorder="1" applyAlignment="1">
      <alignment horizontal="center" vertical="center"/>
    </xf>
    <xf numFmtId="166" fontId="3" fillId="7" borderId="46" xfId="0" applyNumberFormat="1" applyFont="1" applyFill="1" applyBorder="1" applyAlignment="1">
      <alignment horizontal="center" vertical="center"/>
    </xf>
    <xf numFmtId="49" fontId="3" fillId="7" borderId="36" xfId="0" applyNumberFormat="1" applyFont="1" applyFill="1" applyBorder="1" applyAlignment="1">
      <alignment horizontal="center" vertical="center"/>
    </xf>
    <xf numFmtId="166" fontId="21" fillId="11" borderId="46" xfId="0" applyNumberFormat="1" applyFont="1" applyFill="1" applyBorder="1" applyAlignment="1">
      <alignment horizontal="center" vertical="center"/>
    </xf>
    <xf numFmtId="166" fontId="21" fillId="11" borderId="4" xfId="0" applyNumberFormat="1" applyFont="1" applyFill="1" applyBorder="1" applyAlignment="1">
      <alignment horizontal="center" vertical="center"/>
    </xf>
    <xf numFmtId="166" fontId="21" fillId="11" borderId="17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166" fontId="5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1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13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2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5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5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5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8" fontId="5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1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5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40" fontId="5" fillId="0" borderId="19" xfId="0" applyNumberFormat="1" applyFont="1" applyBorder="1" applyAlignment="1">
      <alignment horizontal="center" vertical="center"/>
    </xf>
    <xf numFmtId="40" fontId="5" fillId="0" borderId="2" xfId="0" applyNumberFormat="1" applyFont="1" applyBorder="1" applyAlignment="1">
      <alignment horizontal="center" vertical="center"/>
    </xf>
    <xf numFmtId="166" fontId="5" fillId="5" borderId="35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4" fontId="5" fillId="3" borderId="2" xfId="0" applyNumberFormat="1" applyFont="1" applyFill="1" applyBorder="1" applyAlignment="1">
      <alignment horizontal="center" vertical="center"/>
    </xf>
    <xf numFmtId="16" fontId="5" fillId="3" borderId="29" xfId="0" applyNumberFormat="1" applyFont="1" applyFill="1" applyBorder="1" applyAlignment="1" applyProtection="1">
      <alignment horizontal="left" vertical="center" wrapText="1"/>
      <protection locked="0"/>
    </xf>
    <xf numFmtId="8" fontId="19" fillId="0" borderId="1" xfId="0" applyNumberFormat="1" applyFont="1" applyBorder="1" applyAlignment="1" applyProtection="1">
      <alignment horizontal="center" vertical="center" wrapText="1"/>
      <protection locked="0"/>
    </xf>
    <xf numFmtId="8" fontId="3" fillId="5" borderId="6" xfId="0" applyNumberFormat="1" applyFont="1" applyFill="1" applyBorder="1" applyAlignment="1">
      <alignment horizontal="center" vertical="center" wrapText="1"/>
    </xf>
    <xf numFmtId="8" fontId="3" fillId="5" borderId="38" xfId="0" applyNumberFormat="1" applyFont="1" applyFill="1" applyBorder="1" applyAlignment="1">
      <alignment horizontal="center" vertical="center" wrapText="1"/>
    </xf>
    <xf numFmtId="8" fontId="3" fillId="5" borderId="9" xfId="0" applyNumberFormat="1" applyFont="1" applyFill="1" applyBorder="1" applyAlignment="1">
      <alignment horizontal="center" vertical="center" wrapText="1"/>
    </xf>
    <xf numFmtId="8" fontId="3" fillId="7" borderId="14" xfId="0" applyNumberFormat="1" applyFont="1" applyFill="1" applyBorder="1" applyAlignment="1">
      <alignment horizontal="center" vertical="center" wrapText="1"/>
    </xf>
    <xf numFmtId="8" fontId="3" fillId="7" borderId="6" xfId="0" applyNumberFormat="1" applyFont="1" applyFill="1" applyBorder="1" applyAlignment="1">
      <alignment horizontal="center" vertical="center" wrapText="1"/>
    </xf>
    <xf numFmtId="8" fontId="3" fillId="7" borderId="9" xfId="0" applyNumberFormat="1" applyFont="1" applyFill="1" applyBorder="1" applyAlignment="1">
      <alignment horizontal="center" vertical="center" wrapText="1"/>
    </xf>
    <xf numFmtId="8" fontId="21" fillId="5" borderId="4" xfId="0" applyNumberFormat="1" applyFont="1" applyFill="1" applyBorder="1" applyAlignment="1">
      <alignment horizontal="center" vertical="center"/>
    </xf>
    <xf numFmtId="8" fontId="21" fillId="5" borderId="36" xfId="0" applyNumberFormat="1" applyFont="1" applyFill="1" applyBorder="1" applyAlignment="1">
      <alignment horizontal="center" vertical="center"/>
    </xf>
    <xf numFmtId="8" fontId="21" fillId="7" borderId="46" xfId="0" applyNumberFormat="1" applyFont="1" applyFill="1" applyBorder="1" applyAlignment="1">
      <alignment horizontal="center" vertical="center"/>
    </xf>
    <xf numFmtId="8" fontId="21" fillId="7" borderId="4" xfId="0" applyNumberFormat="1" applyFont="1" applyFill="1" applyBorder="1" applyAlignment="1">
      <alignment horizontal="center" vertical="center"/>
    </xf>
    <xf numFmtId="8" fontId="21" fillId="7" borderId="36" xfId="0" applyNumberFormat="1" applyFont="1" applyFill="1" applyBorder="1" applyAlignment="1">
      <alignment horizontal="center" vertical="center"/>
    </xf>
    <xf numFmtId="8" fontId="21" fillId="7" borderId="17" xfId="0" applyNumberFormat="1" applyFont="1" applyFill="1" applyBorder="1" applyAlignment="1">
      <alignment horizontal="center" vertical="center"/>
    </xf>
    <xf numFmtId="8" fontId="3" fillId="5" borderId="37" xfId="0" applyNumberFormat="1" applyFont="1" applyFill="1" applyBorder="1" applyAlignment="1">
      <alignment horizontal="center" vertical="center" wrapText="1"/>
    </xf>
    <xf numFmtId="8" fontId="3" fillId="5" borderId="46" xfId="0" applyNumberFormat="1" applyFont="1" applyFill="1" applyBorder="1" applyAlignment="1">
      <alignment horizontal="center" vertical="center"/>
    </xf>
    <xf numFmtId="8" fontId="3" fillId="5" borderId="4" xfId="0" applyNumberFormat="1" applyFont="1" applyFill="1" applyBorder="1" applyAlignment="1">
      <alignment horizontal="center" vertical="center"/>
    </xf>
    <xf numFmtId="8" fontId="3" fillId="5" borderId="36" xfId="0" applyNumberFormat="1" applyFont="1" applyFill="1" applyBorder="1" applyAlignment="1">
      <alignment horizontal="center" vertical="center"/>
    </xf>
    <xf numFmtId="8" fontId="3" fillId="7" borderId="46" xfId="0" applyNumberFormat="1" applyFont="1" applyFill="1" applyBorder="1" applyAlignment="1">
      <alignment horizontal="center" vertical="center"/>
    </xf>
    <xf numFmtId="8" fontId="3" fillId="7" borderId="4" xfId="0" applyNumberFormat="1" applyFont="1" applyFill="1" applyBorder="1" applyAlignment="1">
      <alignment horizontal="center" vertical="center"/>
    </xf>
    <xf numFmtId="8" fontId="3" fillId="7" borderId="36" xfId="0" applyNumberFormat="1" applyFont="1" applyFill="1" applyBorder="1" applyAlignment="1">
      <alignment horizontal="center" vertical="center"/>
    </xf>
    <xf numFmtId="8" fontId="3" fillId="7" borderId="17" xfId="0" applyNumberFormat="1" applyFont="1" applyFill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 wrapText="1"/>
    </xf>
    <xf numFmtId="49" fontId="3" fillId="2" borderId="12" xfId="0" applyNumberFormat="1" applyFont="1" applyFill="1" applyBorder="1" applyAlignment="1">
      <alignment horizontal="center" vertical="center" wrapText="1"/>
    </xf>
    <xf numFmtId="49" fontId="3" fillId="2" borderId="13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/>
    </xf>
    <xf numFmtId="49" fontId="6" fillId="0" borderId="14" xfId="0" applyNumberFormat="1" applyFont="1" applyBorder="1" applyAlignment="1">
      <alignment horizontal="center" vertical="center" wrapText="1"/>
    </xf>
    <xf numFmtId="49" fontId="6" fillId="0" borderId="15" xfId="0" applyNumberFormat="1" applyFont="1" applyBorder="1" applyAlignment="1">
      <alignment horizontal="center" vertical="center" wrapText="1"/>
    </xf>
    <xf numFmtId="4" fontId="6" fillId="0" borderId="6" xfId="0" applyNumberFormat="1" applyFont="1" applyBorder="1" applyAlignment="1">
      <alignment horizontal="center" vertical="center" wrapText="1"/>
    </xf>
    <xf numFmtId="4" fontId="6" fillId="0" borderId="16" xfId="0" applyNumberFormat="1" applyFont="1" applyBorder="1" applyAlignment="1">
      <alignment horizontal="center" vertical="center" wrapText="1"/>
    </xf>
    <xf numFmtId="4" fontId="6" fillId="2" borderId="6" xfId="0" applyNumberFormat="1" applyFont="1" applyFill="1" applyBorder="1" applyAlignment="1">
      <alignment horizontal="center" vertical="center" wrapText="1"/>
    </xf>
    <xf numFmtId="4" fontId="6" fillId="2" borderId="16" xfId="0" applyNumberFormat="1" applyFont="1" applyFill="1" applyBorder="1" applyAlignment="1">
      <alignment horizontal="center" vertical="center" wrapText="1"/>
    </xf>
    <xf numFmtId="40" fontId="6" fillId="0" borderId="6" xfId="0" applyNumberFormat="1" applyFont="1" applyBorder="1" applyAlignment="1">
      <alignment horizontal="center" vertical="center" wrapText="1"/>
    </xf>
    <xf numFmtId="40" fontId="6" fillId="0" borderId="16" xfId="0" applyNumberFormat="1" applyFont="1" applyBorder="1" applyAlignment="1">
      <alignment horizontal="center" vertical="center" wrapText="1"/>
    </xf>
    <xf numFmtId="14" fontId="6" fillId="0" borderId="6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0" fontId="27" fillId="10" borderId="1" xfId="0" applyFont="1" applyFill="1" applyBorder="1" applyAlignment="1">
      <alignment horizontal="center" vertical="center" wrapText="1"/>
    </xf>
    <xf numFmtId="1" fontId="5" fillId="0" borderId="24" xfId="0" applyNumberFormat="1" applyFont="1" applyBorder="1" applyAlignment="1">
      <alignment horizontal="center" vertical="center"/>
    </xf>
    <xf numFmtId="1" fontId="5" fillId="0" borderId="27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 applyProtection="1">
      <alignment horizontal="center" vertical="center"/>
      <protection locked="0"/>
    </xf>
    <xf numFmtId="49" fontId="5" fillId="0" borderId="25" xfId="0" applyNumberFormat="1" applyFont="1" applyBorder="1" applyAlignment="1" applyProtection="1">
      <alignment horizontal="center" vertical="center"/>
      <protection locked="0"/>
    </xf>
    <xf numFmtId="49" fontId="5" fillId="0" borderId="24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49" fontId="21" fillId="0" borderId="20" xfId="0" applyNumberFormat="1" applyFont="1" applyBorder="1" applyAlignment="1">
      <alignment horizontal="center" vertical="center"/>
    </xf>
    <xf numFmtId="49" fontId="21" fillId="0" borderId="35" xfId="0" applyNumberFormat="1" applyFont="1" applyBorder="1" applyAlignment="1">
      <alignment horizontal="center" vertical="center"/>
    </xf>
    <xf numFmtId="49" fontId="5" fillId="0" borderId="2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0" xfId="0" applyNumberFormat="1" applyFont="1" applyBorder="1" applyAlignment="1">
      <alignment horizontal="center" vertical="center"/>
    </xf>
    <xf numFmtId="49" fontId="5" fillId="0" borderId="26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49" fontId="5" fillId="5" borderId="20" xfId="0" applyNumberFormat="1" applyFont="1" applyFill="1" applyBorder="1" applyAlignment="1">
      <alignment horizontal="center" vertical="center"/>
    </xf>
    <xf numFmtId="49" fontId="5" fillId="5" borderId="26" xfId="0" applyNumberFormat="1" applyFont="1" applyFill="1" applyBorder="1" applyAlignment="1">
      <alignment horizontal="center" vertical="center"/>
    </xf>
    <xf numFmtId="49" fontId="5" fillId="7" borderId="22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18" fillId="7" borderId="20" xfId="0" applyNumberFormat="1" applyFont="1" applyFill="1" applyBorder="1" applyAlignment="1">
      <alignment horizontal="center" vertical="center" wrapText="1"/>
    </xf>
    <xf numFmtId="49" fontId="18" fillId="7" borderId="22" xfId="0" applyNumberFormat="1" applyFont="1" applyFill="1" applyBorder="1" applyAlignment="1">
      <alignment horizontal="center" vertical="center" wrapText="1"/>
    </xf>
    <xf numFmtId="49" fontId="18" fillId="7" borderId="21" xfId="0" applyNumberFormat="1" applyFont="1" applyFill="1" applyBorder="1" applyAlignment="1">
      <alignment horizontal="center" vertical="center" wrapText="1"/>
    </xf>
    <xf numFmtId="49" fontId="18" fillId="7" borderId="23" xfId="0" applyNumberFormat="1" applyFont="1" applyFill="1" applyBorder="1" applyAlignment="1">
      <alignment horizontal="center" vertical="center" wrapText="1"/>
    </xf>
    <xf numFmtId="49" fontId="3" fillId="2" borderId="31" xfId="0" applyNumberFormat="1" applyFont="1" applyFill="1" applyBorder="1" applyAlignment="1">
      <alignment horizontal="center" vertical="center" wrapText="1"/>
    </xf>
    <xf numFmtId="49" fontId="3" fillId="2" borderId="19" xfId="0" applyNumberFormat="1" applyFont="1" applyFill="1" applyBorder="1" applyAlignment="1">
      <alignment horizontal="center" vertical="center" wrapText="1"/>
    </xf>
    <xf numFmtId="49" fontId="3" fillId="2" borderId="32" xfId="0" applyNumberFormat="1" applyFont="1" applyFill="1" applyBorder="1" applyAlignment="1">
      <alignment horizontal="center" vertical="center" wrapText="1"/>
    </xf>
    <xf numFmtId="49" fontId="18" fillId="5" borderId="21" xfId="0" applyNumberFormat="1" applyFont="1" applyFill="1" applyBorder="1" applyAlignment="1">
      <alignment horizontal="center" vertical="center" wrapText="1"/>
    </xf>
    <xf numFmtId="49" fontId="18" fillId="5" borderId="23" xfId="0" applyNumberFormat="1" applyFont="1" applyFill="1" applyBorder="1" applyAlignment="1">
      <alignment horizontal="center" vertical="center" wrapText="1"/>
    </xf>
    <xf numFmtId="49" fontId="18" fillId="0" borderId="28" xfId="0" applyNumberFormat="1" applyFont="1" applyBorder="1" applyAlignment="1">
      <alignment horizontal="center" vertical="center" wrapText="1"/>
    </xf>
    <xf numFmtId="49" fontId="18" fillId="0" borderId="29" xfId="0" applyNumberFormat="1" applyFont="1" applyBorder="1" applyAlignment="1">
      <alignment horizontal="center" vertical="center" wrapText="1"/>
    </xf>
    <xf numFmtId="4" fontId="18" fillId="4" borderId="28" xfId="0" applyNumberFormat="1" applyFont="1" applyFill="1" applyBorder="1" applyAlignment="1">
      <alignment horizontal="center" vertical="center" wrapText="1"/>
    </xf>
    <xf numFmtId="4" fontId="18" fillId="4" borderId="29" xfId="0" applyNumberFormat="1" applyFont="1" applyFill="1" applyBorder="1" applyAlignment="1">
      <alignment horizontal="center" vertical="center" wrapText="1"/>
    </xf>
    <xf numFmtId="4" fontId="18" fillId="0" borderId="28" xfId="0" applyNumberFormat="1" applyFont="1" applyBorder="1" applyAlignment="1">
      <alignment horizontal="center" vertical="center" wrapText="1"/>
    </xf>
    <xf numFmtId="4" fontId="18" fillId="0" borderId="29" xfId="0" applyNumberFormat="1" applyFont="1" applyBorder="1" applyAlignment="1">
      <alignment horizontal="center" vertical="center" wrapText="1"/>
    </xf>
    <xf numFmtId="40" fontId="18" fillId="0" borderId="28" xfId="0" applyNumberFormat="1" applyFont="1" applyBorder="1" applyAlignment="1">
      <alignment horizontal="center" vertical="center" wrapText="1"/>
    </xf>
    <xf numFmtId="40" fontId="18" fillId="0" borderId="29" xfId="0" applyNumberFormat="1" applyFont="1" applyBorder="1" applyAlignment="1">
      <alignment horizontal="center" vertical="center" wrapText="1"/>
    </xf>
    <xf numFmtId="14" fontId="18" fillId="0" borderId="28" xfId="0" applyNumberFormat="1" applyFont="1" applyBorder="1" applyAlignment="1">
      <alignment horizontal="center" vertical="center" wrapText="1"/>
    </xf>
    <xf numFmtId="14" fontId="18" fillId="0" borderId="29" xfId="0" applyNumberFormat="1" applyFont="1" applyBorder="1" applyAlignment="1">
      <alignment horizontal="center" vertical="center" wrapText="1"/>
    </xf>
    <xf numFmtId="4" fontId="18" fillId="5" borderId="20" xfId="0" applyNumberFormat="1" applyFont="1" applyFill="1" applyBorder="1" applyAlignment="1">
      <alignment horizontal="center" vertical="center" wrapText="1"/>
    </xf>
    <xf numFmtId="4" fontId="18" fillId="5" borderId="22" xfId="0" applyNumberFormat="1" applyFont="1" applyFill="1" applyBorder="1" applyAlignment="1">
      <alignment horizontal="center" vertical="center" wrapText="1"/>
    </xf>
    <xf numFmtId="14" fontId="18" fillId="5" borderId="39" xfId="0" applyNumberFormat="1" applyFont="1" applyFill="1" applyBorder="1" applyAlignment="1">
      <alignment horizontal="center" vertical="center" wrapText="1"/>
    </xf>
    <xf numFmtId="14" fontId="18" fillId="5" borderId="44" xfId="0" applyNumberFormat="1" applyFont="1" applyFill="1" applyBorder="1" applyAlignment="1">
      <alignment horizontal="center" vertical="center" wrapText="1"/>
    </xf>
    <xf numFmtId="49" fontId="5" fillId="2" borderId="27" xfId="0" applyNumberFormat="1" applyFont="1" applyFill="1" applyBorder="1" applyAlignment="1" applyProtection="1">
      <alignment horizontal="center" vertical="center"/>
      <protection locked="0"/>
    </xf>
    <xf numFmtId="49" fontId="5" fillId="2" borderId="25" xfId="0" applyNumberFormat="1" applyFont="1" applyFill="1" applyBorder="1" applyAlignment="1" applyProtection="1">
      <alignment horizontal="center" vertical="center"/>
      <protection locked="0"/>
    </xf>
    <xf numFmtId="49" fontId="5" fillId="11" borderId="22" xfId="0" applyNumberFormat="1" applyFont="1" applyFill="1" applyBorder="1" applyAlignment="1">
      <alignment horizontal="center"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49" fontId="3" fillId="0" borderId="35" xfId="0" applyNumberFormat="1" applyFont="1" applyBorder="1" applyAlignment="1">
      <alignment horizontal="center" vertical="center"/>
    </xf>
    <xf numFmtId="49" fontId="25" fillId="0" borderId="27" xfId="0" applyNumberFormat="1" applyFont="1" applyBorder="1" applyAlignment="1" applyProtection="1">
      <alignment horizontal="center" vertical="center"/>
      <protection locked="0"/>
    </xf>
    <xf numFmtId="49" fontId="25" fillId="0" borderId="25" xfId="0" applyNumberFormat="1" applyFont="1" applyBorder="1" applyAlignment="1" applyProtection="1">
      <alignment horizontal="center" vertical="center"/>
      <protection locked="0"/>
    </xf>
    <xf numFmtId="0" fontId="5" fillId="0" borderId="29" xfId="0" applyFont="1" applyFill="1" applyBorder="1" applyAlignment="1" applyProtection="1">
      <alignment horizontal="left" vertical="center" wrapText="1"/>
      <protection locked="0"/>
    </xf>
    <xf numFmtId="1" fontId="5" fillId="0" borderId="29" xfId="0" applyNumberFormat="1" applyFont="1" applyFill="1" applyBorder="1" applyAlignment="1" applyProtection="1">
      <alignment horizontal="center" vertical="center" wrapText="1"/>
      <protection locked="0"/>
    </xf>
    <xf numFmtId="166" fontId="5" fillId="0" borderId="29" xfId="0" applyNumberFormat="1" applyFont="1" applyFill="1" applyBorder="1" applyAlignment="1" applyProtection="1">
      <alignment horizontal="center" vertical="center" wrapText="1"/>
      <protection locked="0"/>
    </xf>
    <xf numFmtId="14" fontId="5" fillId="0" borderId="31" xfId="0" applyNumberFormat="1" applyFont="1" applyFill="1" applyBorder="1" applyAlignment="1" applyProtection="1">
      <alignment horizontal="left" vertical="center" wrapText="1"/>
      <protection locked="0"/>
    </xf>
    <xf numFmtId="8" fontId="9" fillId="0" borderId="32" xfId="0" applyNumberFormat="1" applyFont="1" applyBorder="1" applyAlignment="1">
      <alignment horizontal="center" vertical="center" wrapText="1"/>
    </xf>
    <xf numFmtId="14" fontId="5" fillId="0" borderId="31" xfId="0" applyNumberFormat="1" applyFont="1" applyFill="1" applyBorder="1" applyAlignment="1" applyProtection="1">
      <alignment horizontal="center" vertical="center" wrapText="1"/>
      <protection locked="0"/>
    </xf>
    <xf numFmtId="14" fontId="5" fillId="0" borderId="43" xfId="0" applyNumberFormat="1" applyFont="1" applyFill="1" applyBorder="1" applyAlignment="1" applyProtection="1">
      <alignment horizontal="left" vertical="center" wrapText="1"/>
      <protection locked="0"/>
    </xf>
    <xf numFmtId="49" fontId="3" fillId="2" borderId="47" xfId="0" applyNumberFormat="1" applyFont="1" applyFill="1" applyBorder="1" applyAlignment="1">
      <alignment horizontal="center" vertical="center" wrapText="1"/>
    </xf>
    <xf numFmtId="0" fontId="5" fillId="0" borderId="28" xfId="0" applyFont="1" applyFill="1" applyBorder="1" applyAlignment="1" applyProtection="1">
      <alignment horizontal="left" vertical="center" wrapText="1"/>
      <protection locked="0"/>
    </xf>
    <xf numFmtId="0" fontId="5" fillId="0" borderId="29" xfId="0" applyFont="1" applyFill="1" applyBorder="1" applyAlignment="1" applyProtection="1">
      <alignment vertical="center" wrapText="1"/>
      <protection locked="0"/>
    </xf>
    <xf numFmtId="0" fontId="5" fillId="0" borderId="30" xfId="0" applyFont="1" applyFill="1" applyBorder="1" applyAlignment="1" applyProtection="1">
      <alignment horizontal="left" vertical="center" wrapText="1"/>
      <protection locked="0"/>
    </xf>
    <xf numFmtId="49" fontId="3" fillId="2" borderId="48" xfId="0" applyNumberFormat="1" applyFont="1" applyFill="1" applyBorder="1" applyAlignment="1">
      <alignment horizontal="center" vertical="center" wrapText="1"/>
    </xf>
    <xf numFmtId="1" fontId="5" fillId="0" borderId="28" xfId="0" applyNumberFormat="1" applyFont="1" applyFill="1" applyBorder="1" applyAlignment="1" applyProtection="1">
      <alignment horizontal="center" vertical="center" wrapText="1"/>
      <protection locked="0"/>
    </xf>
    <xf numFmtId="1" fontId="5" fillId="0" borderId="30" xfId="0" applyNumberFormat="1" applyFont="1" applyFill="1" applyBorder="1" applyAlignment="1" applyProtection="1">
      <alignment horizontal="center" vertical="center" wrapText="1"/>
      <protection locked="0"/>
    </xf>
    <xf numFmtId="166" fontId="5" fillId="0" borderId="28" xfId="0" applyNumberFormat="1" applyFont="1" applyFill="1" applyBorder="1" applyAlignment="1" applyProtection="1">
      <alignment horizontal="center" vertical="center" wrapText="1"/>
      <protection locked="0"/>
    </xf>
    <xf numFmtId="166" fontId="5" fillId="0" borderId="30" xfId="0" applyNumberFormat="1" applyFont="1" applyFill="1" applyBorder="1" applyAlignment="1" applyProtection="1">
      <alignment horizontal="center" vertical="center" wrapText="1"/>
      <protection locked="0"/>
    </xf>
    <xf numFmtId="4" fontId="34" fillId="7" borderId="45" xfId="0" applyNumberFormat="1" applyFont="1" applyFill="1" applyBorder="1" applyAlignment="1">
      <alignment horizontal="center" vertical="center" wrapText="1"/>
    </xf>
    <xf numFmtId="4" fontId="34" fillId="11" borderId="45" xfId="0" applyNumberFormat="1" applyFont="1" applyFill="1" applyBorder="1" applyAlignment="1">
      <alignment horizontal="center" vertical="center" wrapText="1"/>
    </xf>
    <xf numFmtId="4" fontId="5" fillId="7" borderId="45" xfId="0" applyNumberFormat="1" applyFont="1" applyFill="1" applyBorder="1" applyAlignment="1">
      <alignment horizontal="center" vertical="center" wrapText="1"/>
    </xf>
    <xf numFmtId="49" fontId="35" fillId="5" borderId="2" xfId="1" applyNumberFormat="1" applyFont="1" applyFill="1" applyBorder="1" applyAlignment="1" applyProtection="1">
      <alignment horizontal="center" vertical="center" wrapText="1"/>
    </xf>
    <xf numFmtId="49" fontId="35" fillId="7" borderId="2" xfId="1" applyNumberFormat="1" applyFont="1" applyFill="1" applyBorder="1" applyAlignment="1" applyProtection="1">
      <alignment horizontal="center" vertical="center" wrapText="1"/>
    </xf>
    <xf numFmtId="4" fontId="36" fillId="5" borderId="20" xfId="0" applyNumberFormat="1" applyFont="1" applyFill="1" applyBorder="1" applyAlignment="1">
      <alignment horizontal="center" vertical="center" wrapText="1"/>
    </xf>
    <xf numFmtId="4" fontId="36" fillId="7" borderId="45" xfId="0" applyNumberFormat="1" applyFont="1" applyFill="1" applyBorder="1" applyAlignment="1">
      <alignment horizontal="center" vertical="center" wrapText="1"/>
    </xf>
  </cellXfs>
  <cellStyles count="3">
    <cellStyle name="Currency 2" xfId="1" xr:uid="{B8C55F12-8B69-450F-B0C3-99E3C34E79BA}"/>
    <cellStyle name="Normal" xfId="0" builtinId="0"/>
    <cellStyle name="Normal 2" xfId="2" xr:uid="{708E8C90-59EE-4959-A684-0C74A55704F4}"/>
  </cellStyles>
  <dxfs count="6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Invisible" pivot="0" table="0" count="0" xr9:uid="{D1EA73EC-A8BC-42CC-BC05-2B6AF85A69D4}"/>
  </tableStyles>
  <colors>
    <mruColors>
      <color rgb="FFE1F1FF"/>
      <color rgb="FFFFFFCC"/>
      <color rgb="FFFF7C80"/>
      <color rgb="FFB4D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2BDFC-B92F-4554-A3AD-B2ED8E6CF694}">
  <sheetPr codeName="Sheet4"/>
  <dimension ref="A1:AZ60"/>
  <sheetViews>
    <sheetView zoomScale="120" zoomScaleNormal="120" workbookViewId="0">
      <pane xSplit="7" ySplit="3" topLeftCell="H19" activePane="bottomRight" state="frozen"/>
      <selection activeCell="AN7" sqref="AN7"/>
      <selection pane="topRight" activeCell="AN7" sqref="AN7"/>
      <selection pane="bottomLeft" activeCell="AN7" sqref="AN7"/>
      <selection pane="bottomRight" activeCell="K40" sqref="K40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8" style="40" bestFit="1" customWidth="1"/>
    <col min="10" max="10" width="8.6640625" style="41" customWidth="1"/>
    <col min="11" max="11" width="7.21875" style="40" bestFit="1" customWidth="1"/>
    <col min="12" max="12" width="7.77734375" style="40" bestFit="1" customWidth="1"/>
    <col min="13" max="13" width="6.6640625" style="40" bestFit="1" customWidth="1"/>
    <col min="14" max="14" width="6.21875" style="40" bestFit="1" customWidth="1"/>
    <col min="15" max="16" width="6.5546875" style="40" bestFit="1" customWidth="1"/>
    <col min="17" max="17" width="7.77734375" style="40" customWidth="1"/>
    <col min="18" max="18" width="7.6640625" style="40" customWidth="1"/>
    <col min="19" max="19" width="7.6640625" style="54" customWidth="1"/>
    <col min="20" max="26" width="7.6640625" style="40" customWidth="1"/>
    <col min="27" max="30" width="8.88671875" style="40"/>
    <col min="31" max="16384" width="8.88671875" style="50"/>
  </cols>
  <sheetData>
    <row r="1" spans="1:52" s="5" customFormat="1" ht="30" customHeight="1" thickBot="1" x14ac:dyDescent="0.25">
      <c r="A1" s="7" t="s">
        <v>19</v>
      </c>
      <c r="B1" s="7" t="s">
        <v>0</v>
      </c>
      <c r="C1" s="60" t="s">
        <v>1</v>
      </c>
      <c r="D1" s="397" t="s">
        <v>4</v>
      </c>
      <c r="E1" s="399" t="s">
        <v>5</v>
      </c>
      <c r="F1" s="401" t="s">
        <v>38</v>
      </c>
      <c r="G1" s="403" t="s">
        <v>36</v>
      </c>
      <c r="H1" s="405" t="s">
        <v>7</v>
      </c>
      <c r="I1" s="399" t="s">
        <v>6</v>
      </c>
      <c r="J1" s="391" t="s">
        <v>8</v>
      </c>
      <c r="K1" s="8" t="s">
        <v>3</v>
      </c>
      <c r="L1" s="8" t="s">
        <v>2</v>
      </c>
      <c r="M1" s="8" t="s">
        <v>25</v>
      </c>
      <c r="N1" s="8" t="s">
        <v>45</v>
      </c>
      <c r="O1" s="8" t="s">
        <v>46</v>
      </c>
      <c r="P1" s="8" t="s">
        <v>47</v>
      </c>
      <c r="Q1" s="7" t="s">
        <v>49</v>
      </c>
      <c r="R1" s="8" t="s">
        <v>71</v>
      </c>
      <c r="S1" s="8" t="s">
        <v>11</v>
      </c>
      <c r="T1" s="64" t="s">
        <v>26</v>
      </c>
      <c r="U1" s="64" t="s">
        <v>28</v>
      </c>
      <c r="V1" s="64" t="s">
        <v>35</v>
      </c>
      <c r="W1" s="64" t="s">
        <v>32</v>
      </c>
      <c r="X1" s="64" t="s">
        <v>37</v>
      </c>
      <c r="Y1" s="65" t="s">
        <v>20</v>
      </c>
      <c r="Z1" s="64" t="s">
        <v>16</v>
      </c>
      <c r="AA1" s="64" t="s">
        <v>30</v>
      </c>
      <c r="AB1" s="65" t="s">
        <v>39</v>
      </c>
      <c r="AC1" s="64" t="s">
        <v>54</v>
      </c>
      <c r="AD1" s="65" t="s">
        <v>42</v>
      </c>
      <c r="AE1" s="65" t="s">
        <v>50</v>
      </c>
      <c r="AF1" s="65" t="s">
        <v>52</v>
      </c>
      <c r="AG1" s="65" t="s">
        <v>55</v>
      </c>
      <c r="AH1" s="65" t="s">
        <v>57</v>
      </c>
      <c r="AI1" s="65" t="s">
        <v>62</v>
      </c>
      <c r="AJ1" s="65" t="s">
        <v>59</v>
      </c>
      <c r="AK1" s="65" t="s">
        <v>60</v>
      </c>
      <c r="AL1" s="65" t="s">
        <v>61</v>
      </c>
      <c r="AM1" s="7" t="s">
        <v>67</v>
      </c>
      <c r="AN1" s="7" t="s">
        <v>69</v>
      </c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</row>
    <row r="2" spans="1:52" s="1" customFormat="1" ht="15" customHeight="1" thickBot="1" x14ac:dyDescent="0.25">
      <c r="A2" s="9"/>
      <c r="B2" s="67"/>
      <c r="C2" s="22" t="s">
        <v>44</v>
      </c>
      <c r="D2" s="398"/>
      <c r="E2" s="400"/>
      <c r="F2" s="402"/>
      <c r="G2" s="404"/>
      <c r="H2" s="406"/>
      <c r="I2" s="400"/>
      <c r="J2" s="392"/>
      <c r="K2" s="10" t="s">
        <v>10</v>
      </c>
      <c r="L2" s="10" t="s">
        <v>10</v>
      </c>
      <c r="M2" s="10" t="s">
        <v>13</v>
      </c>
      <c r="N2" s="10"/>
      <c r="O2" s="10" t="s">
        <v>14</v>
      </c>
      <c r="P2" s="10" t="s">
        <v>15</v>
      </c>
      <c r="Q2" s="9" t="s">
        <v>48</v>
      </c>
      <c r="R2" s="9">
        <v>1712</v>
      </c>
      <c r="S2" s="23" t="s">
        <v>12</v>
      </c>
      <c r="T2" s="56" t="s">
        <v>27</v>
      </c>
      <c r="U2" s="56" t="s">
        <v>29</v>
      </c>
      <c r="V2" s="56" t="s">
        <v>31</v>
      </c>
      <c r="W2" s="56" t="s">
        <v>33</v>
      </c>
      <c r="X2" s="56" t="s">
        <v>34</v>
      </c>
      <c r="Y2" s="66">
        <v>6005</v>
      </c>
      <c r="Z2" s="56" t="s">
        <v>24</v>
      </c>
      <c r="AA2" s="56" t="s">
        <v>31</v>
      </c>
      <c r="AB2" s="66" t="s">
        <v>40</v>
      </c>
      <c r="AC2" s="66">
        <v>4062</v>
      </c>
      <c r="AD2" s="66" t="s">
        <v>43</v>
      </c>
      <c r="AE2" s="66" t="s">
        <v>51</v>
      </c>
      <c r="AF2" s="66" t="s">
        <v>53</v>
      </c>
      <c r="AG2" s="66" t="s">
        <v>56</v>
      </c>
      <c r="AH2" s="66" t="s">
        <v>58</v>
      </c>
      <c r="AI2" s="66" t="s">
        <v>63</v>
      </c>
      <c r="AJ2" s="66" t="s">
        <v>64</v>
      </c>
      <c r="AK2" s="66" t="s">
        <v>65</v>
      </c>
      <c r="AL2" s="66" t="s">
        <v>66</v>
      </c>
      <c r="AM2" s="9" t="s">
        <v>68</v>
      </c>
      <c r="AN2" s="9" t="s">
        <v>70</v>
      </c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</row>
    <row r="3" spans="1:52" s="1" customFormat="1" ht="12" thickBot="1" x14ac:dyDescent="0.25">
      <c r="A3" s="20"/>
      <c r="B3" s="68">
        <v>44986</v>
      </c>
      <c r="C3" s="393" t="s">
        <v>9</v>
      </c>
      <c r="D3" s="394"/>
      <c r="E3" s="394"/>
      <c r="F3" s="395"/>
      <c r="G3" s="61">
        <v>0</v>
      </c>
      <c r="H3" s="62"/>
      <c r="I3" s="63"/>
      <c r="J3" s="17" t="s">
        <v>17</v>
      </c>
      <c r="K3" s="10">
        <f t="shared" ref="K3:P3" si="0">K40</f>
        <v>0</v>
      </c>
      <c r="L3" s="10">
        <f t="shared" si="0"/>
        <v>0</v>
      </c>
      <c r="M3" s="10">
        <f t="shared" si="0"/>
        <v>0</v>
      </c>
      <c r="N3" s="10">
        <f t="shared" si="0"/>
        <v>0</v>
      </c>
      <c r="O3" s="10">
        <f t="shared" si="0"/>
        <v>0</v>
      </c>
      <c r="P3" s="10">
        <f t="shared" si="0"/>
        <v>0</v>
      </c>
      <c r="Q3" s="10">
        <f>Q40</f>
        <v>0</v>
      </c>
      <c r="R3" s="10">
        <f t="shared" ref="R3:AZ3" si="1">R40</f>
        <v>0</v>
      </c>
      <c r="S3" s="10">
        <f t="shared" si="1"/>
        <v>0</v>
      </c>
      <c r="T3" s="10">
        <f t="shared" si="1"/>
        <v>0</v>
      </c>
      <c r="U3" s="10">
        <f t="shared" si="1"/>
        <v>0</v>
      </c>
      <c r="V3" s="18">
        <f t="shared" si="1"/>
        <v>0</v>
      </c>
      <c r="W3" s="18">
        <f t="shared" si="1"/>
        <v>0</v>
      </c>
      <c r="X3" s="18">
        <f t="shared" si="1"/>
        <v>0</v>
      </c>
      <c r="Y3" s="18">
        <f t="shared" si="1"/>
        <v>0</v>
      </c>
      <c r="Z3" s="18">
        <f t="shared" si="1"/>
        <v>0</v>
      </c>
      <c r="AA3" s="18">
        <f t="shared" si="1"/>
        <v>0</v>
      </c>
      <c r="AB3" s="18">
        <f>AB40</f>
        <v>0</v>
      </c>
      <c r="AC3" s="18">
        <f t="shared" si="1"/>
        <v>0</v>
      </c>
      <c r="AD3" s="18">
        <f t="shared" si="1"/>
        <v>0</v>
      </c>
      <c r="AE3" s="18">
        <f t="shared" si="1"/>
        <v>0</v>
      </c>
      <c r="AF3" s="18">
        <f t="shared" si="1"/>
        <v>0</v>
      </c>
      <c r="AG3" s="18">
        <f t="shared" si="1"/>
        <v>0</v>
      </c>
      <c r="AH3" s="18">
        <f t="shared" si="1"/>
        <v>0</v>
      </c>
      <c r="AI3" s="18">
        <f t="shared" si="1"/>
        <v>0</v>
      </c>
      <c r="AJ3" s="18">
        <f t="shared" si="1"/>
        <v>0</v>
      </c>
      <c r="AK3" s="18">
        <f t="shared" si="1"/>
        <v>0</v>
      </c>
      <c r="AL3" s="18">
        <f t="shared" si="1"/>
        <v>0</v>
      </c>
      <c r="AM3" s="18">
        <f t="shared" si="1"/>
        <v>0</v>
      </c>
      <c r="AN3" s="18">
        <f t="shared" si="1"/>
        <v>0</v>
      </c>
      <c r="AO3" s="18">
        <f t="shared" si="1"/>
        <v>0</v>
      </c>
      <c r="AP3" s="18">
        <f t="shared" si="1"/>
        <v>0</v>
      </c>
      <c r="AQ3" s="18">
        <f t="shared" si="1"/>
        <v>0</v>
      </c>
      <c r="AR3" s="18">
        <f t="shared" si="1"/>
        <v>0</v>
      </c>
      <c r="AS3" s="18">
        <f t="shared" si="1"/>
        <v>0</v>
      </c>
      <c r="AT3" s="18">
        <f t="shared" si="1"/>
        <v>0</v>
      </c>
      <c r="AU3" s="18">
        <f t="shared" si="1"/>
        <v>0</v>
      </c>
      <c r="AV3" s="18">
        <f t="shared" si="1"/>
        <v>0</v>
      </c>
      <c r="AW3" s="18">
        <f t="shared" si="1"/>
        <v>0</v>
      </c>
      <c r="AX3" s="18">
        <f t="shared" si="1"/>
        <v>0</v>
      </c>
      <c r="AY3" s="18">
        <f t="shared" si="1"/>
        <v>0</v>
      </c>
      <c r="AZ3" s="18">
        <f t="shared" si="1"/>
        <v>0</v>
      </c>
    </row>
    <row r="4" spans="1:52" s="45" customFormat="1" ht="12" x14ac:dyDescent="0.2">
      <c r="A4" s="24">
        <v>1</v>
      </c>
      <c r="B4" s="55"/>
      <c r="C4" s="57"/>
      <c r="D4" s="21"/>
      <c r="E4" s="42"/>
      <c r="F4" s="72">
        <f>-1*(E4-(SUM(L4:AZ4)))</f>
        <v>0</v>
      </c>
      <c r="G4" s="43">
        <f>G3-E4+I4</f>
        <v>0</v>
      </c>
      <c r="H4" s="25"/>
      <c r="I4" s="44"/>
      <c r="J4" s="2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</row>
    <row r="5" spans="1:52" s="45" customFormat="1" ht="12" x14ac:dyDescent="0.2">
      <c r="A5" s="24">
        <v>2</v>
      </c>
      <c r="B5" s="55"/>
      <c r="C5" s="57"/>
      <c r="D5" s="21"/>
      <c r="E5" s="27"/>
      <c r="F5" s="72">
        <f t="shared" ref="F5:F40" si="2">-1*(E5-(SUM(L5:AZ5)))</f>
        <v>0</v>
      </c>
      <c r="G5" s="43">
        <f t="shared" ref="G5:G39" si="3">G4-E5+I5</f>
        <v>0</v>
      </c>
      <c r="H5" s="28"/>
      <c r="I5" s="46"/>
      <c r="J5" s="2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</row>
    <row r="6" spans="1:52" s="45" customFormat="1" ht="12" x14ac:dyDescent="0.2">
      <c r="A6" s="24">
        <v>3</v>
      </c>
      <c r="B6" s="55"/>
      <c r="C6" s="57"/>
      <c r="D6" s="21"/>
      <c r="E6" s="27"/>
      <c r="F6" s="72">
        <f t="shared" si="2"/>
        <v>0</v>
      </c>
      <c r="G6" s="43">
        <f t="shared" si="3"/>
        <v>0</v>
      </c>
      <c r="H6" s="28"/>
      <c r="I6" s="46"/>
      <c r="J6" s="2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</row>
    <row r="7" spans="1:52" s="45" customFormat="1" ht="12" x14ac:dyDescent="0.2">
      <c r="A7" s="24">
        <v>4</v>
      </c>
      <c r="B7" s="55"/>
      <c r="C7" s="57"/>
      <c r="D7" s="21"/>
      <c r="E7" s="27"/>
      <c r="F7" s="72">
        <f t="shared" si="2"/>
        <v>0</v>
      </c>
      <c r="G7" s="43">
        <f t="shared" si="3"/>
        <v>0</v>
      </c>
      <c r="H7" s="28"/>
      <c r="I7" s="46"/>
      <c r="J7" s="2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</row>
    <row r="8" spans="1:52" s="45" customFormat="1" ht="12" x14ac:dyDescent="0.2">
      <c r="A8" s="24">
        <v>5</v>
      </c>
      <c r="B8" s="55"/>
      <c r="C8" s="57"/>
      <c r="D8" s="21"/>
      <c r="E8" s="27"/>
      <c r="F8" s="72">
        <f t="shared" si="2"/>
        <v>0</v>
      </c>
      <c r="G8" s="43">
        <f t="shared" si="3"/>
        <v>0</v>
      </c>
      <c r="H8" s="28"/>
      <c r="I8" s="46"/>
      <c r="J8" s="2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</row>
    <row r="9" spans="1:52" s="45" customFormat="1" ht="12" x14ac:dyDescent="0.2">
      <c r="A9" s="24">
        <v>6</v>
      </c>
      <c r="B9" s="55"/>
      <c r="C9" s="57"/>
      <c r="D9" s="21"/>
      <c r="E9" s="27"/>
      <c r="F9" s="72">
        <f t="shared" si="2"/>
        <v>0</v>
      </c>
      <c r="G9" s="43">
        <f t="shared" si="3"/>
        <v>0</v>
      </c>
      <c r="H9" s="28"/>
      <c r="I9" s="46"/>
      <c r="J9" s="2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</row>
    <row r="10" spans="1:52" s="45" customFormat="1" ht="12" x14ac:dyDescent="0.2">
      <c r="A10" s="24">
        <v>7</v>
      </c>
      <c r="B10" s="55"/>
      <c r="C10" s="57"/>
      <c r="D10" s="21"/>
      <c r="E10" s="27"/>
      <c r="F10" s="72">
        <f t="shared" si="2"/>
        <v>0</v>
      </c>
      <c r="G10" s="43">
        <f t="shared" si="3"/>
        <v>0</v>
      </c>
      <c r="H10" s="28"/>
      <c r="I10" s="46"/>
      <c r="J10" s="2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</row>
    <row r="11" spans="1:52" s="45" customFormat="1" ht="12" x14ac:dyDescent="0.2">
      <c r="A11" s="24">
        <v>8</v>
      </c>
      <c r="B11" s="55"/>
      <c r="C11" s="58"/>
      <c r="D11" s="21"/>
      <c r="E11" s="27"/>
      <c r="F11" s="72">
        <f t="shared" si="2"/>
        <v>0</v>
      </c>
      <c r="G11" s="43">
        <f t="shared" si="3"/>
        <v>0</v>
      </c>
      <c r="H11" s="28"/>
      <c r="I11" s="46"/>
      <c r="J11" s="2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</row>
    <row r="12" spans="1:52" s="45" customFormat="1" ht="12" x14ac:dyDescent="0.2">
      <c r="A12" s="24">
        <v>9</v>
      </c>
      <c r="B12" s="55"/>
      <c r="C12" s="58"/>
      <c r="D12" s="21"/>
      <c r="E12" s="27"/>
      <c r="F12" s="72">
        <f t="shared" si="2"/>
        <v>0</v>
      </c>
      <c r="G12" s="43">
        <f t="shared" si="3"/>
        <v>0</v>
      </c>
      <c r="H12" s="28"/>
      <c r="I12" s="47"/>
      <c r="J12" s="2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</row>
    <row r="13" spans="1:52" s="45" customFormat="1" ht="12" x14ac:dyDescent="0.2">
      <c r="A13" s="24">
        <v>10</v>
      </c>
      <c r="B13" s="55"/>
      <c r="C13" s="58"/>
      <c r="D13" s="21"/>
      <c r="E13" s="27"/>
      <c r="F13" s="72">
        <f t="shared" si="2"/>
        <v>0</v>
      </c>
      <c r="G13" s="43">
        <f t="shared" si="3"/>
        <v>0</v>
      </c>
      <c r="H13" s="28"/>
      <c r="I13" s="47"/>
      <c r="J13" s="2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</row>
    <row r="14" spans="1:52" s="45" customFormat="1" ht="12" x14ac:dyDescent="0.2">
      <c r="A14" s="24">
        <v>11</v>
      </c>
      <c r="B14" s="55"/>
      <c r="C14" s="58"/>
      <c r="D14" s="21"/>
      <c r="E14" s="27"/>
      <c r="F14" s="72">
        <f t="shared" si="2"/>
        <v>0</v>
      </c>
      <c r="G14" s="43">
        <f t="shared" si="3"/>
        <v>0</v>
      </c>
      <c r="H14" s="28"/>
      <c r="I14" s="47"/>
      <c r="J14" s="2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</row>
    <row r="15" spans="1:52" s="45" customFormat="1" ht="12" x14ac:dyDescent="0.2">
      <c r="A15" s="24">
        <v>12</v>
      </c>
      <c r="B15" s="74"/>
      <c r="C15" s="58"/>
      <c r="D15" s="21"/>
      <c r="E15" s="27"/>
      <c r="F15" s="72">
        <f t="shared" si="2"/>
        <v>0</v>
      </c>
      <c r="G15" s="43">
        <f t="shared" si="3"/>
        <v>0</v>
      </c>
      <c r="H15" s="28"/>
      <c r="I15" s="47"/>
      <c r="J15" s="2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</row>
    <row r="16" spans="1:52" s="45" customFormat="1" ht="12" x14ac:dyDescent="0.2">
      <c r="A16" s="24">
        <v>13</v>
      </c>
      <c r="B16" s="74"/>
      <c r="C16" s="58"/>
      <c r="D16" s="21"/>
      <c r="E16" s="27"/>
      <c r="F16" s="72">
        <f t="shared" si="2"/>
        <v>0</v>
      </c>
      <c r="G16" s="43">
        <f t="shared" si="3"/>
        <v>0</v>
      </c>
      <c r="H16" s="28"/>
      <c r="I16" s="47"/>
      <c r="J16" s="2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</row>
    <row r="17" spans="1:52" s="45" customFormat="1" ht="12" x14ac:dyDescent="0.2">
      <c r="A17" s="24">
        <v>14</v>
      </c>
      <c r="B17" s="74"/>
      <c r="C17" s="58"/>
      <c r="D17" s="21"/>
      <c r="E17" s="27"/>
      <c r="F17" s="72">
        <f t="shared" si="2"/>
        <v>0</v>
      </c>
      <c r="G17" s="43">
        <f t="shared" si="3"/>
        <v>0</v>
      </c>
      <c r="H17" s="28"/>
      <c r="I17" s="47"/>
      <c r="J17" s="29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</row>
    <row r="18" spans="1:52" s="45" customFormat="1" ht="12" x14ac:dyDescent="0.2">
      <c r="A18" s="24">
        <v>15</v>
      </c>
      <c r="B18" s="55"/>
      <c r="C18" s="58"/>
      <c r="D18" s="21"/>
      <c r="E18" s="27"/>
      <c r="F18" s="72">
        <f t="shared" si="2"/>
        <v>0</v>
      </c>
      <c r="G18" s="43">
        <f t="shared" si="3"/>
        <v>0</v>
      </c>
      <c r="H18" s="28"/>
      <c r="I18" s="47"/>
      <c r="J18" s="29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</row>
    <row r="19" spans="1:52" s="45" customFormat="1" ht="12" x14ac:dyDescent="0.2">
      <c r="A19" s="24">
        <v>16</v>
      </c>
      <c r="B19" s="55"/>
      <c r="C19" s="58"/>
      <c r="D19" s="21"/>
      <c r="E19" s="27"/>
      <c r="F19" s="72">
        <f t="shared" si="2"/>
        <v>0</v>
      </c>
      <c r="G19" s="43">
        <f t="shared" si="3"/>
        <v>0</v>
      </c>
      <c r="H19" s="28"/>
      <c r="I19" s="47"/>
      <c r="J19" s="2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</row>
    <row r="20" spans="1:52" s="45" customFormat="1" ht="12" x14ac:dyDescent="0.2">
      <c r="A20" s="24">
        <v>17</v>
      </c>
      <c r="B20" s="55"/>
      <c r="C20" s="58"/>
      <c r="D20" s="21"/>
      <c r="E20" s="27"/>
      <c r="F20" s="72">
        <f t="shared" si="2"/>
        <v>0</v>
      </c>
      <c r="G20" s="43">
        <f t="shared" si="3"/>
        <v>0</v>
      </c>
      <c r="H20" s="28"/>
      <c r="I20" s="47"/>
      <c r="J20" s="2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</row>
    <row r="21" spans="1:52" s="45" customFormat="1" ht="12" x14ac:dyDescent="0.2">
      <c r="A21" s="24">
        <v>18</v>
      </c>
      <c r="B21" s="55"/>
      <c r="C21" s="58"/>
      <c r="D21" s="11"/>
      <c r="E21" s="27"/>
      <c r="F21" s="72">
        <f t="shared" si="2"/>
        <v>0</v>
      </c>
      <c r="G21" s="43">
        <f t="shared" si="3"/>
        <v>0</v>
      </c>
      <c r="H21" s="28"/>
      <c r="I21" s="47"/>
      <c r="J21" s="2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</row>
    <row r="22" spans="1:52" s="45" customFormat="1" ht="12" x14ac:dyDescent="0.2">
      <c r="A22" s="24">
        <v>19</v>
      </c>
      <c r="B22" s="55"/>
      <c r="C22" s="58"/>
      <c r="D22" s="11"/>
      <c r="E22" s="27"/>
      <c r="F22" s="72">
        <f t="shared" si="2"/>
        <v>0</v>
      </c>
      <c r="G22" s="43">
        <f t="shared" si="3"/>
        <v>0</v>
      </c>
      <c r="H22" s="28"/>
      <c r="I22" s="47"/>
      <c r="J22" s="2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</row>
    <row r="23" spans="1:52" s="45" customFormat="1" ht="12" x14ac:dyDescent="0.2">
      <c r="A23" s="24">
        <v>20</v>
      </c>
      <c r="B23" s="55"/>
      <c r="C23" s="58"/>
      <c r="D23" s="21"/>
      <c r="E23" s="27"/>
      <c r="F23" s="72">
        <f t="shared" si="2"/>
        <v>0</v>
      </c>
      <c r="G23" s="43">
        <f t="shared" si="3"/>
        <v>0</v>
      </c>
      <c r="H23" s="28"/>
      <c r="I23" s="47"/>
      <c r="J23" s="2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</row>
    <row r="24" spans="1:52" s="45" customFormat="1" ht="12" x14ac:dyDescent="0.2">
      <c r="A24" s="24">
        <v>21</v>
      </c>
      <c r="B24" s="55"/>
      <c r="C24" s="58"/>
      <c r="D24" s="11"/>
      <c r="E24" s="27"/>
      <c r="F24" s="72">
        <f t="shared" si="2"/>
        <v>0</v>
      </c>
      <c r="G24" s="43">
        <f t="shared" si="3"/>
        <v>0</v>
      </c>
      <c r="H24" s="28"/>
      <c r="I24" s="47"/>
      <c r="J24" s="2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</row>
    <row r="25" spans="1:52" s="45" customFormat="1" ht="12" x14ac:dyDescent="0.2">
      <c r="A25" s="24">
        <v>22</v>
      </c>
      <c r="B25" s="55"/>
      <c r="C25" s="58"/>
      <c r="D25" s="11"/>
      <c r="E25" s="27"/>
      <c r="F25" s="72">
        <f t="shared" si="2"/>
        <v>0</v>
      </c>
      <c r="G25" s="43">
        <f t="shared" si="3"/>
        <v>0</v>
      </c>
      <c r="H25" s="28"/>
      <c r="I25" s="47"/>
      <c r="J25" s="2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</row>
    <row r="26" spans="1:52" s="45" customFormat="1" ht="12" x14ac:dyDescent="0.2">
      <c r="A26" s="24">
        <v>23</v>
      </c>
      <c r="B26" s="55"/>
      <c r="C26" s="58"/>
      <c r="D26" s="11"/>
      <c r="E26" s="27"/>
      <c r="F26" s="72">
        <f t="shared" si="2"/>
        <v>0</v>
      </c>
      <c r="G26" s="43">
        <f t="shared" si="3"/>
        <v>0</v>
      </c>
      <c r="H26" s="28"/>
      <c r="I26" s="47"/>
      <c r="J26" s="2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</row>
    <row r="27" spans="1:52" s="45" customFormat="1" ht="12" x14ac:dyDescent="0.2">
      <c r="A27" s="24">
        <v>24</v>
      </c>
      <c r="B27" s="55"/>
      <c r="C27" s="58"/>
      <c r="D27" s="21"/>
      <c r="E27" s="27"/>
      <c r="F27" s="72">
        <f t="shared" si="2"/>
        <v>0</v>
      </c>
      <c r="G27" s="43">
        <f t="shared" si="3"/>
        <v>0</v>
      </c>
      <c r="H27" s="28"/>
      <c r="I27" s="47"/>
      <c r="J27" s="2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</row>
    <row r="28" spans="1:52" s="45" customFormat="1" ht="12" x14ac:dyDescent="0.2">
      <c r="A28" s="24">
        <v>25</v>
      </c>
      <c r="B28" s="55"/>
      <c r="C28" s="58"/>
      <c r="D28" s="11"/>
      <c r="E28" s="27"/>
      <c r="F28" s="72">
        <f t="shared" si="2"/>
        <v>0</v>
      </c>
      <c r="G28" s="43">
        <f t="shared" si="3"/>
        <v>0</v>
      </c>
      <c r="H28" s="28"/>
      <c r="I28" s="47"/>
      <c r="J28" s="29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</row>
    <row r="29" spans="1:52" s="45" customFormat="1" ht="12" x14ac:dyDescent="0.2">
      <c r="A29" s="24">
        <v>26</v>
      </c>
      <c r="B29" s="55"/>
      <c r="C29" s="58"/>
      <c r="D29" s="11"/>
      <c r="E29" s="27"/>
      <c r="F29" s="72">
        <f t="shared" si="2"/>
        <v>0</v>
      </c>
      <c r="G29" s="43">
        <f t="shared" si="3"/>
        <v>0</v>
      </c>
      <c r="H29" s="28"/>
      <c r="I29" s="47"/>
      <c r="J29" s="29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</row>
    <row r="30" spans="1:52" s="45" customFormat="1" ht="12" x14ac:dyDescent="0.2">
      <c r="A30" s="24">
        <v>27</v>
      </c>
      <c r="B30" s="55"/>
      <c r="C30" s="58"/>
      <c r="D30" s="21"/>
      <c r="E30" s="27"/>
      <c r="F30" s="72">
        <f t="shared" si="2"/>
        <v>0</v>
      </c>
      <c r="G30" s="43">
        <f t="shared" si="3"/>
        <v>0</v>
      </c>
      <c r="H30" s="28"/>
      <c r="I30" s="47"/>
      <c r="J30" s="2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</row>
    <row r="31" spans="1:52" s="45" customFormat="1" ht="12" x14ac:dyDescent="0.2">
      <c r="A31" s="24">
        <v>28</v>
      </c>
      <c r="B31" s="55"/>
      <c r="C31" s="58"/>
      <c r="D31" s="11"/>
      <c r="E31" s="27"/>
      <c r="F31" s="72">
        <f t="shared" si="2"/>
        <v>0</v>
      </c>
      <c r="G31" s="43">
        <f t="shared" si="3"/>
        <v>0</v>
      </c>
      <c r="H31" s="28"/>
      <c r="I31" s="47"/>
      <c r="J31" s="2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</row>
    <row r="32" spans="1:52" s="45" customFormat="1" ht="12" x14ac:dyDescent="0.2">
      <c r="A32" s="24">
        <v>29</v>
      </c>
      <c r="B32" s="55"/>
      <c r="C32" s="58"/>
      <c r="D32" s="11"/>
      <c r="E32" s="27"/>
      <c r="F32" s="72">
        <f t="shared" si="2"/>
        <v>0</v>
      </c>
      <c r="G32" s="43">
        <f t="shared" si="3"/>
        <v>0</v>
      </c>
      <c r="H32" s="28"/>
      <c r="I32" s="47"/>
      <c r="J32" s="2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</row>
    <row r="33" spans="1:52" s="45" customFormat="1" ht="12" x14ac:dyDescent="0.2">
      <c r="A33" s="24">
        <v>30</v>
      </c>
      <c r="B33" s="55"/>
      <c r="C33" s="58"/>
      <c r="D33" s="11"/>
      <c r="E33" s="27"/>
      <c r="F33" s="72">
        <f t="shared" si="2"/>
        <v>0</v>
      </c>
      <c r="G33" s="43">
        <f t="shared" si="3"/>
        <v>0</v>
      </c>
      <c r="H33" s="28"/>
      <c r="I33" s="47"/>
      <c r="J33" s="2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</row>
    <row r="34" spans="1:52" s="45" customFormat="1" ht="12" x14ac:dyDescent="0.2">
      <c r="A34" s="24">
        <v>31</v>
      </c>
      <c r="B34" s="55"/>
      <c r="C34" s="58"/>
      <c r="D34" s="11"/>
      <c r="E34" s="27"/>
      <c r="F34" s="72">
        <f t="shared" si="2"/>
        <v>0</v>
      </c>
      <c r="G34" s="43">
        <f t="shared" si="3"/>
        <v>0</v>
      </c>
      <c r="H34" s="28"/>
      <c r="I34" s="47"/>
      <c r="J34" s="2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</row>
    <row r="35" spans="1:52" s="45" customFormat="1" ht="12" x14ac:dyDescent="0.2">
      <c r="A35" s="24">
        <v>32</v>
      </c>
      <c r="B35" s="55"/>
      <c r="C35" s="58"/>
      <c r="D35" s="11"/>
      <c r="E35" s="27"/>
      <c r="F35" s="72">
        <f t="shared" si="2"/>
        <v>0</v>
      </c>
      <c r="G35" s="43">
        <f t="shared" si="3"/>
        <v>0</v>
      </c>
      <c r="H35" s="28"/>
      <c r="I35" s="47"/>
      <c r="J35" s="2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</row>
    <row r="36" spans="1:52" s="45" customFormat="1" ht="12" x14ac:dyDescent="0.2">
      <c r="A36" s="24">
        <v>33</v>
      </c>
      <c r="B36" s="55"/>
      <c r="C36" s="26"/>
      <c r="D36" s="11"/>
      <c r="E36" s="27"/>
      <c r="F36" s="72">
        <f t="shared" si="2"/>
        <v>0</v>
      </c>
      <c r="G36" s="43">
        <f t="shared" si="3"/>
        <v>0</v>
      </c>
      <c r="H36" s="28"/>
      <c r="I36" s="47"/>
      <c r="J36" s="2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</row>
    <row r="37" spans="1:52" s="45" customFormat="1" ht="12" x14ac:dyDescent="0.2">
      <c r="A37" s="24">
        <v>34</v>
      </c>
      <c r="B37" s="55"/>
      <c r="C37" s="26"/>
      <c r="D37" s="11"/>
      <c r="E37" s="27"/>
      <c r="F37" s="72">
        <f t="shared" si="2"/>
        <v>0</v>
      </c>
      <c r="G37" s="43">
        <f t="shared" si="3"/>
        <v>0</v>
      </c>
      <c r="H37" s="28"/>
      <c r="I37" s="47"/>
      <c r="J37" s="2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</row>
    <row r="38" spans="1:52" s="45" customFormat="1" ht="12" x14ac:dyDescent="0.2">
      <c r="A38" s="24">
        <v>35</v>
      </c>
      <c r="B38" s="55"/>
      <c r="D38" s="11"/>
      <c r="E38" s="27"/>
      <c r="F38" s="72">
        <f t="shared" si="2"/>
        <v>0</v>
      </c>
      <c r="G38" s="43">
        <f t="shared" si="3"/>
        <v>0</v>
      </c>
      <c r="H38" s="28"/>
      <c r="I38" s="46"/>
      <c r="J38" s="2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</row>
    <row r="39" spans="1:52" s="45" customFormat="1" ht="12" x14ac:dyDescent="0.2">
      <c r="A39" s="24">
        <v>36</v>
      </c>
      <c r="B39" s="55"/>
      <c r="C39" s="26"/>
      <c r="D39" s="11"/>
      <c r="E39" s="27"/>
      <c r="F39" s="72">
        <f t="shared" si="2"/>
        <v>0</v>
      </c>
      <c r="G39" s="43">
        <f t="shared" si="3"/>
        <v>0</v>
      </c>
      <c r="H39" s="28"/>
      <c r="I39" s="46"/>
      <c r="J39" s="2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</row>
    <row r="40" spans="1:52" s="48" customFormat="1" ht="12" x14ac:dyDescent="0.2">
      <c r="A40" s="30"/>
      <c r="B40" s="69"/>
      <c r="C40" s="389"/>
      <c r="D40" s="390"/>
      <c r="E40" s="32">
        <f>SUM(E4:E39)</f>
        <v>0</v>
      </c>
      <c r="F40" s="72">
        <f t="shared" si="2"/>
        <v>0</v>
      </c>
      <c r="G40" s="18">
        <f>$G$3+I40-E40</f>
        <v>0</v>
      </c>
      <c r="H40" s="31"/>
      <c r="I40" s="23">
        <f>SUM(I4:I39)</f>
        <v>0</v>
      </c>
      <c r="J40" s="75"/>
      <c r="K40" s="23">
        <f t="shared" ref="K40:P40" si="4">SUM(K4:K39)</f>
        <v>0</v>
      </c>
      <c r="L40" s="23">
        <f t="shared" si="4"/>
        <v>0</v>
      </c>
      <c r="M40" s="23">
        <f t="shared" si="4"/>
        <v>0</v>
      </c>
      <c r="N40" s="23">
        <f t="shared" si="4"/>
        <v>0</v>
      </c>
      <c r="O40" s="23">
        <f t="shared" si="4"/>
        <v>0</v>
      </c>
      <c r="P40" s="23">
        <f t="shared" si="4"/>
        <v>0</v>
      </c>
      <c r="Q40" s="23">
        <f>SUM(Q4:Q39)</f>
        <v>0</v>
      </c>
      <c r="R40" s="23">
        <f t="shared" ref="R40:AZ40" si="5">SUM(R4:R39)</f>
        <v>0</v>
      </c>
      <c r="S40" s="23">
        <f t="shared" si="5"/>
        <v>0</v>
      </c>
      <c r="T40" s="23">
        <f t="shared" si="5"/>
        <v>0</v>
      </c>
      <c r="U40" s="23">
        <f t="shared" si="5"/>
        <v>0</v>
      </c>
      <c r="V40" s="32">
        <f t="shared" si="5"/>
        <v>0</v>
      </c>
      <c r="W40" s="32">
        <f t="shared" si="5"/>
        <v>0</v>
      </c>
      <c r="X40" s="32">
        <f t="shared" si="5"/>
        <v>0</v>
      </c>
      <c r="Y40" s="32">
        <f t="shared" si="5"/>
        <v>0</v>
      </c>
      <c r="Z40" s="32">
        <f t="shared" si="5"/>
        <v>0</v>
      </c>
      <c r="AA40" s="32">
        <f t="shared" si="5"/>
        <v>0</v>
      </c>
      <c r="AB40" s="32">
        <f>SUM(AB4:AB39)</f>
        <v>0</v>
      </c>
      <c r="AC40" s="32">
        <f t="shared" si="5"/>
        <v>0</v>
      </c>
      <c r="AD40" s="32">
        <f t="shared" si="5"/>
        <v>0</v>
      </c>
      <c r="AE40" s="32">
        <f t="shared" si="5"/>
        <v>0</v>
      </c>
      <c r="AF40" s="32">
        <f t="shared" si="5"/>
        <v>0</v>
      </c>
      <c r="AG40" s="32">
        <f t="shared" si="5"/>
        <v>0</v>
      </c>
      <c r="AH40" s="32">
        <f t="shared" si="5"/>
        <v>0</v>
      </c>
      <c r="AI40" s="32">
        <f t="shared" si="5"/>
        <v>0</v>
      </c>
      <c r="AJ40" s="32">
        <f t="shared" si="5"/>
        <v>0</v>
      </c>
      <c r="AK40" s="32">
        <f t="shared" si="5"/>
        <v>0</v>
      </c>
      <c r="AL40" s="32">
        <f t="shared" si="5"/>
        <v>0</v>
      </c>
      <c r="AM40" s="32">
        <f t="shared" si="5"/>
        <v>0</v>
      </c>
      <c r="AN40" s="32">
        <f t="shared" si="5"/>
        <v>0</v>
      </c>
      <c r="AO40" s="32">
        <f t="shared" si="5"/>
        <v>0</v>
      </c>
      <c r="AP40" s="32">
        <f t="shared" si="5"/>
        <v>0</v>
      </c>
      <c r="AQ40" s="32">
        <f t="shared" si="5"/>
        <v>0</v>
      </c>
      <c r="AR40" s="32">
        <f t="shared" si="5"/>
        <v>0</v>
      </c>
      <c r="AS40" s="32">
        <f t="shared" si="5"/>
        <v>0</v>
      </c>
      <c r="AT40" s="32">
        <f t="shared" si="5"/>
        <v>0</v>
      </c>
      <c r="AU40" s="32">
        <f t="shared" si="5"/>
        <v>0</v>
      </c>
      <c r="AV40" s="32">
        <f t="shared" si="5"/>
        <v>0</v>
      </c>
      <c r="AW40" s="32">
        <f t="shared" si="5"/>
        <v>0</v>
      </c>
      <c r="AX40" s="32">
        <f t="shared" si="5"/>
        <v>0</v>
      </c>
      <c r="AY40" s="32">
        <f t="shared" si="5"/>
        <v>0</v>
      </c>
      <c r="AZ40" s="32">
        <f t="shared" si="5"/>
        <v>0</v>
      </c>
    </row>
    <row r="41" spans="1:52" ht="11.25" x14ac:dyDescent="0.2">
      <c r="A41" s="33"/>
      <c r="B41" s="70"/>
      <c r="C41" s="389" t="s">
        <v>23</v>
      </c>
      <c r="D41" s="390"/>
      <c r="E41" s="32">
        <f>SUM(L40:AY40)</f>
        <v>0</v>
      </c>
      <c r="F41" s="32"/>
      <c r="G41" s="36"/>
      <c r="H41" s="34"/>
      <c r="I41" s="38"/>
      <c r="J41" s="35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</row>
    <row r="42" spans="1:52" ht="11.25" x14ac:dyDescent="0.2">
      <c r="A42" s="33"/>
      <c r="B42" s="70"/>
      <c r="C42" s="389" t="s">
        <v>18</v>
      </c>
      <c r="D42" s="390"/>
      <c r="E42" s="37">
        <f>E40-E41</f>
        <v>0</v>
      </c>
      <c r="F42" s="32"/>
      <c r="G42" s="36"/>
      <c r="H42" s="34"/>
      <c r="I42" s="38"/>
      <c r="J42" s="35"/>
      <c r="K42" s="23"/>
      <c r="L42" s="23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</row>
    <row r="43" spans="1:52" s="51" customFormat="1" ht="24" customHeight="1" x14ac:dyDescent="0.2">
      <c r="A43" s="396" t="s">
        <v>21</v>
      </c>
      <c r="B43" s="396"/>
      <c r="C43" s="396"/>
      <c r="D43" s="396"/>
      <c r="E43" s="396"/>
      <c r="F43" s="75"/>
      <c r="G43" s="12" t="str">
        <f>G1</f>
        <v>Book    Balance</v>
      </c>
      <c r="H43" s="13"/>
      <c r="I43" s="14" t="str">
        <f>I1</f>
        <v>Deposit Amount</v>
      </c>
      <c r="J43" s="15" t="str">
        <f t="shared" ref="J43:O43" si="6">J1</f>
        <v>Deposit Explanation</v>
      </c>
      <c r="K43" s="12" t="str">
        <f t="shared" si="6"/>
        <v>A/P Discount</v>
      </c>
      <c r="L43" s="12" t="str">
        <f t="shared" si="6"/>
        <v>A/P</v>
      </c>
      <c r="M43" s="12" t="str">
        <f t="shared" si="6"/>
        <v>Net Payroll</v>
      </c>
      <c r="N43" s="12" t="str">
        <f t="shared" si="6"/>
        <v>P/R Tax</v>
      </c>
      <c r="O43" s="12" t="str">
        <f t="shared" si="6"/>
        <v>Rent G&amp;A 34% ($1,205)</v>
      </c>
      <c r="P43" s="12" t="str">
        <f>P1</f>
        <v>Rent MFG 66% ($2,339)</v>
      </c>
      <c r="Q43" s="12" t="str">
        <f>Q1</f>
        <v>IT Maintenance</v>
      </c>
      <c r="R43" s="12" t="str">
        <f t="shared" ref="R43:AZ43" si="7">R1</f>
        <v>S/H Distribution</v>
      </c>
      <c r="S43" s="12" t="str">
        <f t="shared" si="7"/>
        <v>Merchant Fees</v>
      </c>
      <c r="T43" s="12" t="str">
        <f t="shared" si="7"/>
        <v>Material</v>
      </c>
      <c r="U43" s="12" t="str">
        <f t="shared" si="7"/>
        <v>Auto Expense</v>
      </c>
      <c r="V43" s="12" t="str">
        <f t="shared" si="7"/>
        <v>Casting Supply</v>
      </c>
      <c r="W43" s="12" t="str">
        <f t="shared" si="7"/>
        <v>F/O</v>
      </c>
      <c r="X43" s="12" t="str">
        <f t="shared" si="7"/>
        <v>Ins  Block</v>
      </c>
      <c r="Y43" s="12" t="str">
        <f t="shared" si="7"/>
        <v>Office</v>
      </c>
      <c r="Z43" s="12" t="str">
        <f t="shared" si="7"/>
        <v>R&amp;M</v>
      </c>
      <c r="AA43" s="12" t="str">
        <f t="shared" si="7"/>
        <v>Shop</v>
      </c>
      <c r="AB43" s="12" t="str">
        <f>AB1</f>
        <v>Telephone</v>
      </c>
      <c r="AC43" s="12" t="str">
        <f t="shared" si="7"/>
        <v>R&amp;D</v>
      </c>
      <c r="AD43" s="12" t="str">
        <f t="shared" si="7"/>
        <v>Shipping Exp</v>
      </c>
      <c r="AE43" s="12" t="str">
        <f t="shared" si="7"/>
        <v>Employee Health Insurance</v>
      </c>
      <c r="AF43" s="12" t="str">
        <f t="shared" si="7"/>
        <v>Advertising</v>
      </c>
      <c r="AG43" s="14" t="str">
        <f t="shared" si="7"/>
        <v>Other Tax</v>
      </c>
      <c r="AH43" s="14" t="str">
        <f t="shared" si="7"/>
        <v>MMA</v>
      </c>
      <c r="AI43" s="14" t="str">
        <f t="shared" si="7"/>
        <v>Dues &amp; Subs</v>
      </c>
      <c r="AJ43" s="14" t="str">
        <f t="shared" si="7"/>
        <v>Postage</v>
      </c>
      <c r="AK43" s="14" t="str">
        <f t="shared" si="7"/>
        <v>C/L Interest</v>
      </c>
      <c r="AL43" s="14" t="str">
        <f t="shared" si="7"/>
        <v>C/L Paydown</v>
      </c>
      <c r="AM43" s="14" t="str">
        <f t="shared" si="7"/>
        <v>Loan to GS</v>
      </c>
      <c r="AN43" s="14" t="str">
        <f t="shared" si="7"/>
        <v>Sales</v>
      </c>
      <c r="AO43" s="14">
        <f t="shared" si="7"/>
        <v>0</v>
      </c>
      <c r="AP43" s="14">
        <f t="shared" si="7"/>
        <v>0</v>
      </c>
      <c r="AQ43" s="14">
        <f t="shared" si="7"/>
        <v>0</v>
      </c>
      <c r="AR43" s="14">
        <f t="shared" si="7"/>
        <v>0</v>
      </c>
      <c r="AS43" s="14">
        <f t="shared" si="7"/>
        <v>0</v>
      </c>
      <c r="AT43" s="14">
        <f t="shared" si="7"/>
        <v>0</v>
      </c>
      <c r="AU43" s="14">
        <f t="shared" si="7"/>
        <v>0</v>
      </c>
      <c r="AV43" s="14">
        <f t="shared" si="7"/>
        <v>0</v>
      </c>
      <c r="AW43" s="14">
        <f t="shared" si="7"/>
        <v>0</v>
      </c>
      <c r="AX43" s="14">
        <f t="shared" si="7"/>
        <v>0</v>
      </c>
      <c r="AY43" s="14">
        <f t="shared" si="7"/>
        <v>0</v>
      </c>
      <c r="AZ43" s="14">
        <f t="shared" si="7"/>
        <v>0</v>
      </c>
    </row>
    <row r="44" spans="1:52" x14ac:dyDescent="0.2">
      <c r="A44" s="33"/>
      <c r="B44" s="389" t="s">
        <v>22</v>
      </c>
      <c r="C44" s="390"/>
      <c r="D44" s="16"/>
      <c r="E44" s="38"/>
      <c r="F44" s="38"/>
      <c r="G44" s="36"/>
      <c r="H44" s="34"/>
      <c r="I44" s="38"/>
      <c r="J44" s="35"/>
      <c r="K44" s="38"/>
      <c r="L44" s="38"/>
      <c r="M44" s="38"/>
      <c r="N44" s="38"/>
      <c r="O44" s="38"/>
      <c r="P44" s="38"/>
      <c r="Q44" s="38"/>
      <c r="R44" s="38"/>
      <c r="S44" s="52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</row>
    <row r="45" spans="1:52" x14ac:dyDescent="0.2">
      <c r="A45" s="33"/>
      <c r="B45" s="389" t="s">
        <v>18</v>
      </c>
      <c r="C45" s="390"/>
      <c r="D45" s="19">
        <f>D44-I40</f>
        <v>0</v>
      </c>
      <c r="E45" s="6" t="s">
        <v>41</v>
      </c>
      <c r="F45" s="38"/>
      <c r="G45" s="36"/>
      <c r="H45" s="34"/>
      <c r="I45" s="38"/>
      <c r="J45" s="35"/>
      <c r="K45" s="38"/>
      <c r="L45" s="38"/>
      <c r="M45" s="38"/>
      <c r="N45" s="38"/>
      <c r="O45" s="38"/>
      <c r="P45" s="38"/>
      <c r="Q45" s="38"/>
      <c r="R45" s="38"/>
      <c r="S45" s="52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</row>
    <row r="47" spans="1:52" x14ac:dyDescent="0.2">
      <c r="M47" s="2"/>
    </row>
    <row r="49" spans="3:4" x14ac:dyDescent="0.2">
      <c r="C49" s="59"/>
      <c r="D49" s="4"/>
    </row>
    <row r="50" spans="3:4" x14ac:dyDescent="0.2">
      <c r="C50" s="59"/>
      <c r="D50" s="4"/>
    </row>
    <row r="51" spans="3:4" x14ac:dyDescent="0.2">
      <c r="C51" s="59"/>
      <c r="D51" s="4"/>
    </row>
    <row r="52" spans="3:4" x14ac:dyDescent="0.2">
      <c r="C52" s="59"/>
      <c r="D52" s="4"/>
    </row>
    <row r="53" spans="3:4" x14ac:dyDescent="0.2">
      <c r="C53" s="59"/>
      <c r="D53" s="4"/>
    </row>
    <row r="54" spans="3:4" x14ac:dyDescent="0.2">
      <c r="C54" s="59"/>
      <c r="D54" s="4"/>
    </row>
    <row r="55" spans="3:4" x14ac:dyDescent="0.2">
      <c r="C55" s="59"/>
      <c r="D55" s="4"/>
    </row>
    <row r="56" spans="3:4" x14ac:dyDescent="0.2">
      <c r="C56" s="59"/>
      <c r="D56" s="4"/>
    </row>
    <row r="57" spans="3:4" x14ac:dyDescent="0.2">
      <c r="C57" s="59"/>
      <c r="D57" s="4"/>
    </row>
    <row r="58" spans="3:4" x14ac:dyDescent="0.2">
      <c r="C58" s="59"/>
      <c r="D58" s="4"/>
    </row>
    <row r="59" spans="3:4" x14ac:dyDescent="0.2">
      <c r="C59" s="59"/>
      <c r="D59" s="4"/>
    </row>
    <row r="60" spans="3:4" x14ac:dyDescent="0.2">
      <c r="C60" s="59"/>
      <c r="D60" s="4"/>
    </row>
  </sheetData>
  <mergeCells count="14">
    <mergeCell ref="B44:C44"/>
    <mergeCell ref="B45:C45"/>
    <mergeCell ref="J1:J2"/>
    <mergeCell ref="C3:F3"/>
    <mergeCell ref="C40:D40"/>
    <mergeCell ref="C41:D41"/>
    <mergeCell ref="C42:D42"/>
    <mergeCell ref="A43:E43"/>
    <mergeCell ref="D1:D2"/>
    <mergeCell ref="E1:E2"/>
    <mergeCell ref="F1:F2"/>
    <mergeCell ref="G1:G2"/>
    <mergeCell ref="H1:H2"/>
    <mergeCell ref="I1:I2"/>
  </mergeCells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F6FE-543E-461B-82A2-15614B0EE6F8}">
  <sheetPr codeName="Sheet16"/>
  <dimension ref="A1:BA50"/>
  <sheetViews>
    <sheetView topLeftCell="AA1" zoomScaleNormal="100" workbookViewId="0">
      <pane ySplit="1" topLeftCell="A2" activePane="bottomLeft" state="frozen"/>
      <selection activeCell="D30" sqref="D30"/>
      <selection pane="bottomLeft" activeCell="AO23" sqref="AO23"/>
    </sheetView>
  </sheetViews>
  <sheetFormatPr defaultRowHeight="12.75" x14ac:dyDescent="0.2"/>
  <cols>
    <col min="1" max="1" width="11" style="116" bestFit="1" customWidth="1"/>
    <col min="2" max="2" width="7.6640625" style="116" bestFit="1" customWidth="1"/>
    <col min="3" max="3" width="8.44140625" style="116" bestFit="1" customWidth="1"/>
    <col min="4" max="4" width="11.109375" style="116" bestFit="1" customWidth="1"/>
    <col min="5" max="5" width="10" style="116" bestFit="1" customWidth="1"/>
    <col min="6" max="6" width="9.77734375" style="116" bestFit="1" customWidth="1"/>
    <col min="7" max="7" width="6.33203125" style="116" bestFit="1" customWidth="1"/>
    <col min="8" max="8" width="9.6640625" style="116" bestFit="1" customWidth="1"/>
    <col min="9" max="9" width="8" style="116" bestFit="1" customWidth="1"/>
    <col min="10" max="10" width="6.77734375" style="116" bestFit="1" customWidth="1"/>
    <col min="11" max="11" width="10.88671875" style="118" bestFit="1" customWidth="1"/>
    <col min="12" max="12" width="11.5546875" style="116" bestFit="1" customWidth="1"/>
    <col min="13" max="13" width="7.77734375" style="116" bestFit="1" customWidth="1"/>
    <col min="14" max="14" width="5.6640625" style="116" bestFit="1" customWidth="1"/>
    <col min="15" max="16" width="8.6640625" style="116" bestFit="1" customWidth="1"/>
    <col min="17" max="19" width="7.21875" style="116" bestFit="1" customWidth="1"/>
    <col min="20" max="20" width="5.6640625" style="116" bestFit="1" customWidth="1"/>
    <col min="21" max="21" width="7.21875" style="116" bestFit="1" customWidth="1"/>
    <col min="22" max="22" width="5.6640625" style="116" bestFit="1" customWidth="1"/>
    <col min="23" max="33" width="7.21875" style="116" bestFit="1" customWidth="1"/>
    <col min="34" max="34" width="8.6640625" style="116" bestFit="1" customWidth="1"/>
    <col min="35" max="35" width="7.21875" style="116" bestFit="1" customWidth="1"/>
    <col min="36" max="38" width="5.6640625" style="116" bestFit="1" customWidth="1"/>
    <col min="39" max="39" width="4.77734375" style="116" bestFit="1" customWidth="1"/>
    <col min="40" max="41" width="5.6640625" style="116" bestFit="1" customWidth="1"/>
    <col min="42" max="42" width="7.21875" style="116" bestFit="1" customWidth="1"/>
    <col min="43" max="43" width="5.6640625" style="116" bestFit="1" customWidth="1"/>
    <col min="44" max="44" width="7.21875" style="116" bestFit="1" customWidth="1"/>
    <col min="45" max="45" width="5.6640625" style="116" bestFit="1" customWidth="1"/>
    <col min="46" max="46" width="6.33203125" style="116" bestFit="1" customWidth="1"/>
    <col min="47" max="49" width="7.88671875" style="116" bestFit="1" customWidth="1"/>
    <col min="50" max="51" width="5.21875" style="116" bestFit="1" customWidth="1"/>
    <col min="52" max="52" width="7.88671875" style="116" bestFit="1" customWidth="1"/>
    <col min="53" max="53" width="7.77734375" style="116" bestFit="1" customWidth="1"/>
    <col min="54" max="16384" width="8.88671875" style="116"/>
  </cols>
  <sheetData>
    <row r="1" spans="1:53" s="112" customFormat="1" ht="45.75" customHeight="1" x14ac:dyDescent="0.2">
      <c r="A1" s="98" t="s">
        <v>97</v>
      </c>
      <c r="B1" s="99" t="s">
        <v>95</v>
      </c>
      <c r="C1" s="100" t="s">
        <v>96</v>
      </c>
      <c r="D1" s="101" t="s">
        <v>118</v>
      </c>
      <c r="E1" s="102" t="s">
        <v>98</v>
      </c>
      <c r="F1" s="108" t="s">
        <v>99</v>
      </c>
      <c r="G1" s="109" t="s">
        <v>135</v>
      </c>
      <c r="H1" s="110" t="s">
        <v>100</v>
      </c>
      <c r="I1" s="110" t="s">
        <v>113</v>
      </c>
      <c r="J1" s="111" t="s">
        <v>112</v>
      </c>
      <c r="K1" s="109" t="s">
        <v>101</v>
      </c>
      <c r="L1" s="252" t="s">
        <v>102</v>
      </c>
      <c r="M1" s="141"/>
      <c r="N1" s="477" t="s">
        <v>139</v>
      </c>
      <c r="O1" s="477" t="s">
        <v>139</v>
      </c>
      <c r="P1" s="477" t="s">
        <v>139</v>
      </c>
      <c r="Q1" s="477" t="s">
        <v>139</v>
      </c>
      <c r="R1" s="477" t="s">
        <v>139</v>
      </c>
      <c r="S1" s="477" t="s">
        <v>139</v>
      </c>
      <c r="T1" s="477" t="s">
        <v>139</v>
      </c>
      <c r="U1" s="477" t="s">
        <v>139</v>
      </c>
      <c r="V1" s="477" t="s">
        <v>139</v>
      </c>
      <c r="W1" s="477" t="s">
        <v>139</v>
      </c>
      <c r="X1" s="477" t="s">
        <v>139</v>
      </c>
      <c r="Y1" s="477" t="s">
        <v>139</v>
      </c>
      <c r="Z1" s="477" t="s">
        <v>139</v>
      </c>
      <c r="AA1" s="477" t="s">
        <v>139</v>
      </c>
      <c r="AB1" s="477" t="s">
        <v>139</v>
      </c>
      <c r="AC1" s="477" t="s">
        <v>139</v>
      </c>
      <c r="AD1" s="477" t="s">
        <v>139</v>
      </c>
      <c r="AE1" s="477" t="s">
        <v>139</v>
      </c>
      <c r="AF1" s="477" t="s">
        <v>139</v>
      </c>
      <c r="AG1" s="477" t="s">
        <v>139</v>
      </c>
      <c r="AH1" s="477" t="s">
        <v>139</v>
      </c>
      <c r="AI1" s="477" t="s">
        <v>139</v>
      </c>
      <c r="AJ1" s="477" t="s">
        <v>139</v>
      </c>
      <c r="AK1" s="477" t="s">
        <v>139</v>
      </c>
      <c r="AL1" s="477" t="s">
        <v>139</v>
      </c>
      <c r="AM1" s="477" t="s">
        <v>139</v>
      </c>
      <c r="AN1" s="477" t="s">
        <v>139</v>
      </c>
      <c r="AO1" s="477" t="s">
        <v>139</v>
      </c>
      <c r="AP1" s="477" t="s">
        <v>139</v>
      </c>
      <c r="AQ1" s="477" t="s">
        <v>139</v>
      </c>
      <c r="AR1" s="477" t="s">
        <v>139</v>
      </c>
      <c r="AS1" s="477" t="s">
        <v>139</v>
      </c>
      <c r="AT1" s="477" t="s">
        <v>139</v>
      </c>
      <c r="AU1" s="478" t="s">
        <v>140</v>
      </c>
      <c r="AV1" s="478" t="s">
        <v>140</v>
      </c>
      <c r="AW1" s="478" t="s">
        <v>140</v>
      </c>
      <c r="AX1" s="478" t="s">
        <v>140</v>
      </c>
      <c r="AY1" s="478" t="s">
        <v>140</v>
      </c>
      <c r="AZ1" s="478" t="s">
        <v>140</v>
      </c>
      <c r="BA1" s="98" t="s">
        <v>136</v>
      </c>
    </row>
    <row r="2" spans="1:53" s="114" customFormat="1" ht="13.5" thickBot="1" x14ac:dyDescent="0.25">
      <c r="A2" s="132"/>
      <c r="B2" s="133"/>
      <c r="C2" s="133"/>
      <c r="D2" s="134"/>
      <c r="E2" s="135"/>
      <c r="F2" s="136"/>
      <c r="G2" s="137"/>
      <c r="H2" s="137"/>
      <c r="I2" s="146"/>
      <c r="J2" s="137"/>
      <c r="K2" s="138"/>
      <c r="L2" s="139"/>
      <c r="M2" s="140"/>
      <c r="N2" s="119" t="str">
        <f>'01 - CDJ'!N2</f>
        <v>G/L #</v>
      </c>
      <c r="O2" s="97" t="str">
        <f>'01 - CDJ'!O2</f>
        <v>G/L #</v>
      </c>
      <c r="P2" s="97" t="str">
        <f>'01 - CDJ'!P2</f>
        <v>G/L #</v>
      </c>
      <c r="Q2" s="97" t="str">
        <f>'01 - CDJ'!Q2</f>
        <v>G/L #</v>
      </c>
      <c r="R2" s="97" t="str">
        <f>'01 - CDJ'!R2</f>
        <v>G/L #</v>
      </c>
      <c r="S2" s="97" t="str">
        <f>'01 - CDJ'!S2</f>
        <v>G/L #</v>
      </c>
      <c r="T2" s="97" t="str">
        <f>'01 - CDJ'!T2</f>
        <v>G/L #</v>
      </c>
      <c r="U2" s="97" t="str">
        <f>'01 - CDJ'!U2</f>
        <v>G/L #</v>
      </c>
      <c r="V2" s="97" t="str">
        <f>'01 - CDJ'!V2</f>
        <v>G/L #</v>
      </c>
      <c r="W2" s="97" t="str">
        <f>'01 - CDJ'!W2</f>
        <v>G/L #</v>
      </c>
      <c r="X2" s="97" t="str">
        <f>'01 - CDJ'!X2</f>
        <v>G/L #</v>
      </c>
      <c r="Y2" s="97" t="str">
        <f>'01 - CDJ'!Y2</f>
        <v>G/L #</v>
      </c>
      <c r="Z2" s="97" t="str">
        <f>'01 - CDJ'!Z2</f>
        <v>G/L #</v>
      </c>
      <c r="AA2" s="97" t="str">
        <f>'01 - CDJ'!AA2</f>
        <v>G/L #</v>
      </c>
      <c r="AB2" s="97" t="str">
        <f>'01 - CDJ'!AB2</f>
        <v>G/L #</v>
      </c>
      <c r="AC2" s="97" t="str">
        <f>'01 - CDJ'!AC2</f>
        <v>G/L #</v>
      </c>
      <c r="AD2" s="97" t="str">
        <f>'01 - CDJ'!AD2</f>
        <v>G/L #</v>
      </c>
      <c r="AE2" s="97" t="str">
        <f>'01 - CDJ'!AE2</f>
        <v>G/L #</v>
      </c>
      <c r="AF2" s="97" t="str">
        <f>'01 - CDJ'!AF2</f>
        <v>G/L #</v>
      </c>
      <c r="AG2" s="97" t="str">
        <f>'01 - CDJ'!AG2</f>
        <v>G/L #</v>
      </c>
      <c r="AH2" s="97" t="str">
        <f>'01 - CDJ'!AH2</f>
        <v>G/L #</v>
      </c>
      <c r="AI2" s="97" t="str">
        <f>'01 - CDJ'!AI2</f>
        <v>G/L #</v>
      </c>
      <c r="AJ2" s="97" t="str">
        <f>'01 - CDJ'!AJ2</f>
        <v>G/L #</v>
      </c>
      <c r="AK2" s="97" t="str">
        <f>'01 - CDJ'!AK2</f>
        <v>G/L #</v>
      </c>
      <c r="AL2" s="97" t="str">
        <f>'01 - CDJ'!AL2</f>
        <v>G/L #</v>
      </c>
      <c r="AM2" s="97" t="str">
        <f>'01 - CDJ'!AM2</f>
        <v>G/L #</v>
      </c>
      <c r="AN2" s="97" t="str">
        <f>'01 - CDJ'!AN2</f>
        <v>G/L #</v>
      </c>
      <c r="AO2" s="97" t="str">
        <f>'01 - CDJ'!AO2</f>
        <v>G/L #</v>
      </c>
      <c r="AP2" s="97" t="str">
        <f>'01 - CDJ'!AP2</f>
        <v>G/L #</v>
      </c>
      <c r="AQ2" s="97" t="str">
        <f>'01 - CDJ'!AQ2</f>
        <v>G/L #</v>
      </c>
      <c r="AR2" s="97" t="str">
        <f>'01 - CDJ'!AR2</f>
        <v>G/L #</v>
      </c>
      <c r="AS2" s="97">
        <v>6046</v>
      </c>
      <c r="AT2" s="97">
        <v>4025</v>
      </c>
      <c r="AU2" s="81" t="str">
        <f>'01 - CDJ'!AY2</f>
        <v>G/L #</v>
      </c>
      <c r="AV2" s="81" t="str">
        <f>'01 - CDJ'!AZ2</f>
        <v>G/L #</v>
      </c>
      <c r="AW2" s="81" t="str">
        <f>'01 - CDJ'!BA2</f>
        <v>G/L #</v>
      </c>
      <c r="AX2" s="81" t="str">
        <f>'01 - CDJ'!BB2</f>
        <v>G/L #</v>
      </c>
      <c r="AY2" s="81">
        <v>6060</v>
      </c>
      <c r="AZ2" s="103" t="str">
        <f>'01 - CDJ'!BD2</f>
        <v>G/L #</v>
      </c>
      <c r="BA2" s="113"/>
    </row>
    <row r="3" spans="1:53" ht="15.75" thickBot="1" x14ac:dyDescent="0.25">
      <c r="A3" s="121" t="s">
        <v>72</v>
      </c>
      <c r="B3" s="273">
        <f>'01 - CDJ'!$E$40</f>
        <v>0</v>
      </c>
      <c r="C3" s="273">
        <f>'01 - CDJ'!$E$43</f>
        <v>0</v>
      </c>
      <c r="D3" s="273">
        <f>'01 - CDJ'!$E$44</f>
        <v>0</v>
      </c>
      <c r="E3" s="294">
        <f>B3-C3-D3</f>
        <v>0</v>
      </c>
      <c r="F3" s="295" t="s">
        <v>72</v>
      </c>
      <c r="G3" s="122">
        <f>'01 - CDJ'!$D$47</f>
        <v>0</v>
      </c>
      <c r="H3" s="127">
        <f>'01 - CDJ'!$J$3</f>
        <v>0</v>
      </c>
      <c r="I3" s="127">
        <f>'01 - CDJ'!$I$3</f>
        <v>0</v>
      </c>
      <c r="J3" s="128">
        <f>'01 - CDJ'!$L$3</f>
        <v>0</v>
      </c>
      <c r="K3" s="123">
        <f t="shared" ref="K3:K4" si="0">G3-H3-I3-J3</f>
        <v>0</v>
      </c>
      <c r="L3" s="148">
        <f>(H3 + I3) - C3</f>
        <v>0</v>
      </c>
      <c r="M3" s="124" t="s">
        <v>72</v>
      </c>
      <c r="N3" s="272">
        <f>'01 - CDJ'!$N$40</f>
        <v>0</v>
      </c>
      <c r="O3" s="273">
        <f>'01 - CDJ'!$O$40</f>
        <v>0</v>
      </c>
      <c r="P3" s="273">
        <f>'01 - CDJ'!P$40</f>
        <v>0</v>
      </c>
      <c r="Q3" s="273">
        <f>'01 - CDJ'!Q$40</f>
        <v>0</v>
      </c>
      <c r="R3" s="273">
        <f>'01 - CDJ'!R$40</f>
        <v>0</v>
      </c>
      <c r="S3" s="274">
        <f>'01 - CDJ'!S$40</f>
        <v>0</v>
      </c>
      <c r="T3" s="274">
        <f>'01 - CDJ'!T$40</f>
        <v>0</v>
      </c>
      <c r="U3" s="274">
        <f>'01 - CDJ'!U$40</f>
        <v>0</v>
      </c>
      <c r="V3" s="274">
        <f>'01 - CDJ'!V$40</f>
        <v>0</v>
      </c>
      <c r="W3" s="274">
        <f>'01 - CDJ'!W$40</f>
        <v>0</v>
      </c>
      <c r="X3" s="274">
        <f>'01 - CDJ'!X$40</f>
        <v>0</v>
      </c>
      <c r="Y3" s="274">
        <f>'01 - CDJ'!Y$40</f>
        <v>0</v>
      </c>
      <c r="Z3" s="274">
        <f>'01 - CDJ'!Z$40</f>
        <v>0</v>
      </c>
      <c r="AA3" s="274">
        <f>'01 - CDJ'!AA$40</f>
        <v>0</v>
      </c>
      <c r="AB3" s="274">
        <f>'01 - CDJ'!AB$40</f>
        <v>0</v>
      </c>
      <c r="AC3" s="274">
        <f>'01 - CDJ'!AC$40</f>
        <v>0</v>
      </c>
      <c r="AD3" s="274">
        <f>'01 - CDJ'!AD$40</f>
        <v>0</v>
      </c>
      <c r="AE3" s="274">
        <f>'01 - CDJ'!AE$40</f>
        <v>0</v>
      </c>
      <c r="AF3" s="274">
        <f>'01 - CDJ'!AF$40</f>
        <v>0</v>
      </c>
      <c r="AG3" s="274">
        <f>'01 - CDJ'!AG$40</f>
        <v>0</v>
      </c>
      <c r="AH3" s="274">
        <f>'01 - CDJ'!AH$40</f>
        <v>0</v>
      </c>
      <c r="AI3" s="274">
        <f>'01 - CDJ'!AI$40</f>
        <v>0</v>
      </c>
      <c r="AJ3" s="274">
        <f>'01 - CDJ'!AJ$40</f>
        <v>0</v>
      </c>
      <c r="AK3" s="274">
        <f>'01 - CDJ'!AK$40</f>
        <v>0</v>
      </c>
      <c r="AL3" s="274">
        <f>'01 - CDJ'!AL$40</f>
        <v>0</v>
      </c>
      <c r="AM3" s="274">
        <f>'01 - CDJ'!AM$40</f>
        <v>0</v>
      </c>
      <c r="AN3" s="274">
        <f>'01 - CDJ'!AN$40</f>
        <v>0</v>
      </c>
      <c r="AO3" s="274">
        <f>'01 - CDJ'!AO$40</f>
        <v>0</v>
      </c>
      <c r="AP3" s="274">
        <f>'01 - CDJ'!AP$40</f>
        <v>0</v>
      </c>
      <c r="AQ3" s="274">
        <f>'01 - CDJ'!AQ$40</f>
        <v>0</v>
      </c>
      <c r="AR3" s="274">
        <f>'01 - CDJ'!AR$40</f>
        <v>0</v>
      </c>
      <c r="AS3" s="274">
        <f>'01 - CDJ'!AS$40</f>
        <v>0</v>
      </c>
      <c r="AT3" s="274">
        <f>'01 - CDJ'!AT$40</f>
        <v>0</v>
      </c>
      <c r="AU3" s="274">
        <f>'01 - CDJ'!AY$40</f>
        <v>0</v>
      </c>
      <c r="AV3" s="274">
        <f>'01 - CDJ'!AZ$40</f>
        <v>0</v>
      </c>
      <c r="AW3" s="274">
        <f>'01 - CDJ'!BA$40</f>
        <v>0</v>
      </c>
      <c r="AX3" s="274">
        <f>'01 - CDJ'!BB$40</f>
        <v>0</v>
      </c>
      <c r="AY3" s="274">
        <f>'01 - CDJ'!BC$40</f>
        <v>0</v>
      </c>
      <c r="AZ3" s="275">
        <f>'01 - CDJ'!BD$40</f>
        <v>0</v>
      </c>
      <c r="BA3" s="126" t="s">
        <v>72</v>
      </c>
    </row>
    <row r="4" spans="1:53" ht="15.75" thickBot="1" x14ac:dyDescent="0.25">
      <c r="A4" s="95" t="s">
        <v>73</v>
      </c>
      <c r="B4" s="277">
        <f>'02 - CDJ'!$E$40</f>
        <v>0</v>
      </c>
      <c r="C4" s="277">
        <f>'02 - CDJ'!$E$43</f>
        <v>0</v>
      </c>
      <c r="D4" s="277">
        <f>'02 - CDJ'!$E$44</f>
        <v>0</v>
      </c>
      <c r="E4" s="296">
        <f t="shared" ref="E4:E14" si="1">B4-C4-D4</f>
        <v>0</v>
      </c>
      <c r="F4" s="297" t="s">
        <v>73</v>
      </c>
      <c r="G4" s="115">
        <f>'02 - CDJ'!$D$47</f>
        <v>0</v>
      </c>
      <c r="H4" s="127">
        <f>'02 - CDJ'!$J$3</f>
        <v>0</v>
      </c>
      <c r="I4" s="127">
        <f>'02 - CDJ'!$I$3</f>
        <v>0</v>
      </c>
      <c r="J4" s="128">
        <f>'02 - CDJ'!$L$3</f>
        <v>0</v>
      </c>
      <c r="K4" s="123">
        <f t="shared" si="0"/>
        <v>0</v>
      </c>
      <c r="L4" s="148">
        <f t="shared" ref="L4:L14" si="2">(H4 + I4) - C4</f>
        <v>0</v>
      </c>
      <c r="M4" s="120" t="s">
        <v>73</v>
      </c>
      <c r="N4" s="276">
        <f>'02 - CDJ'!$N$40</f>
        <v>0</v>
      </c>
      <c r="O4" s="277">
        <f>'02 - CDJ'!$O$40</f>
        <v>0</v>
      </c>
      <c r="P4" s="277">
        <f>'02 - CDJ'!P$40</f>
        <v>0</v>
      </c>
      <c r="Q4" s="277">
        <f>'02 - CDJ'!Q$40</f>
        <v>0</v>
      </c>
      <c r="R4" s="277">
        <f>'02 - CDJ'!R$40</f>
        <v>0</v>
      </c>
      <c r="S4" s="278">
        <f>'02 - CDJ'!S$40</f>
        <v>0</v>
      </c>
      <c r="T4" s="278">
        <f>'02 - CDJ'!T$40</f>
        <v>0</v>
      </c>
      <c r="U4" s="278">
        <f>'02 - CDJ'!U$40</f>
        <v>0</v>
      </c>
      <c r="V4" s="278">
        <f>'02 - CDJ'!V$40</f>
        <v>0</v>
      </c>
      <c r="W4" s="278">
        <f>'02 - CDJ'!W$40</f>
        <v>0</v>
      </c>
      <c r="X4" s="278">
        <f>'02 - CDJ'!X$40</f>
        <v>0</v>
      </c>
      <c r="Y4" s="278">
        <f>'02 - CDJ'!Y$40</f>
        <v>0</v>
      </c>
      <c r="Z4" s="278">
        <f>'02 - CDJ'!Z$40</f>
        <v>0</v>
      </c>
      <c r="AA4" s="278">
        <f>'02 - CDJ'!AA$40</f>
        <v>0</v>
      </c>
      <c r="AB4" s="278">
        <f>'02 - CDJ'!AB$40</f>
        <v>0</v>
      </c>
      <c r="AC4" s="278">
        <f>'02 - CDJ'!AC$40</f>
        <v>0</v>
      </c>
      <c r="AD4" s="278">
        <f>'02 - CDJ'!AD$40</f>
        <v>0</v>
      </c>
      <c r="AE4" s="278">
        <f>'02 - CDJ'!AE$40</f>
        <v>0</v>
      </c>
      <c r="AF4" s="278">
        <f>'02 - CDJ'!AF$40</f>
        <v>0</v>
      </c>
      <c r="AG4" s="278">
        <f>'02 - CDJ'!AG$40</f>
        <v>0</v>
      </c>
      <c r="AH4" s="278">
        <f>'02 - CDJ'!AH$40</f>
        <v>0</v>
      </c>
      <c r="AI4" s="278">
        <f>'02 - CDJ'!AI$40</f>
        <v>0</v>
      </c>
      <c r="AJ4" s="278">
        <f>'02 - CDJ'!AJ$40</f>
        <v>0</v>
      </c>
      <c r="AK4" s="278">
        <f>'02 - CDJ'!AK$40</f>
        <v>0</v>
      </c>
      <c r="AL4" s="278">
        <f>'02 - CDJ'!AL$40</f>
        <v>0</v>
      </c>
      <c r="AM4" s="278">
        <f>'02 - CDJ'!AM$40</f>
        <v>0</v>
      </c>
      <c r="AN4" s="278">
        <f>'02 - CDJ'!AN$40</f>
        <v>0</v>
      </c>
      <c r="AO4" s="278">
        <f>'02 - CDJ'!AO$40</f>
        <v>0</v>
      </c>
      <c r="AP4" s="278">
        <f>'02 - CDJ'!AP$40</f>
        <v>0</v>
      </c>
      <c r="AQ4" s="278">
        <f>'02 - CDJ'!AQ$40</f>
        <v>0</v>
      </c>
      <c r="AR4" s="278">
        <f>'02 - CDJ'!AR$40</f>
        <v>0</v>
      </c>
      <c r="AS4" s="278">
        <f>'02 - CDJ'!AS$40</f>
        <v>0</v>
      </c>
      <c r="AT4" s="278">
        <f>'02 - CDJ'!AT$40</f>
        <v>0</v>
      </c>
      <c r="AU4" s="278">
        <f>'02 - CDJ'!AY$40</f>
        <v>0</v>
      </c>
      <c r="AV4" s="278">
        <f>'02 - CDJ'!AZ$40</f>
        <v>0</v>
      </c>
      <c r="AW4" s="278">
        <f>'02 - CDJ'!BA$40</f>
        <v>0</v>
      </c>
      <c r="AX4" s="278">
        <f>'02 - CDJ'!BB$40</f>
        <v>0</v>
      </c>
      <c r="AY4" s="278">
        <f>'02 - CDJ'!BC$40</f>
        <v>0</v>
      </c>
      <c r="AZ4" s="279">
        <f>'02 - CDJ'!BD$40</f>
        <v>0</v>
      </c>
      <c r="BA4" s="87" t="s">
        <v>73</v>
      </c>
    </row>
    <row r="5" spans="1:53" ht="15.75" thickBot="1" x14ac:dyDescent="0.25">
      <c r="A5" s="121" t="s">
        <v>74</v>
      </c>
      <c r="B5" s="273">
        <f>'03 - CDJ'!$E$40</f>
        <v>0</v>
      </c>
      <c r="C5" s="273">
        <f>'03 - CDJ'!$E$43</f>
        <v>0</v>
      </c>
      <c r="D5" s="273">
        <f>'03 - CDJ'!$E$44</f>
        <v>0</v>
      </c>
      <c r="E5" s="294">
        <f t="shared" si="1"/>
        <v>0</v>
      </c>
      <c r="F5" s="295" t="s">
        <v>74</v>
      </c>
      <c r="G5" s="122">
        <f>'03 - CDJ'!$D$47</f>
        <v>0</v>
      </c>
      <c r="H5" s="127">
        <f>'03 - CDJ'!$J$3</f>
        <v>0</v>
      </c>
      <c r="I5" s="127">
        <f>'03 - CDJ'!$I$3</f>
        <v>0</v>
      </c>
      <c r="J5" s="128">
        <f>'03 - CDJ'!$L$3</f>
        <v>0</v>
      </c>
      <c r="K5" s="123">
        <f>G5-H5-I5-J5</f>
        <v>0</v>
      </c>
      <c r="L5" s="148">
        <f t="shared" si="2"/>
        <v>0</v>
      </c>
      <c r="M5" s="124" t="s">
        <v>74</v>
      </c>
      <c r="N5" s="272">
        <f>'03 - CDJ'!$N$40</f>
        <v>0</v>
      </c>
      <c r="O5" s="273">
        <f>'03 - CDJ'!$O$40</f>
        <v>0</v>
      </c>
      <c r="P5" s="273">
        <f>'03 - CDJ'!P$40</f>
        <v>0</v>
      </c>
      <c r="Q5" s="273">
        <f>'03 - CDJ'!Q$40</f>
        <v>0</v>
      </c>
      <c r="R5" s="273">
        <f>'03 - CDJ'!R$40</f>
        <v>0</v>
      </c>
      <c r="S5" s="274">
        <f>'03 - CDJ'!S$40</f>
        <v>0</v>
      </c>
      <c r="T5" s="274">
        <f>'03 - CDJ'!T$40</f>
        <v>0</v>
      </c>
      <c r="U5" s="274">
        <f>'03 - CDJ'!U$40</f>
        <v>0</v>
      </c>
      <c r="V5" s="274">
        <f>'03 - CDJ'!V$40</f>
        <v>0</v>
      </c>
      <c r="W5" s="274">
        <f>'03 - CDJ'!W$40</f>
        <v>0</v>
      </c>
      <c r="X5" s="274">
        <f>'03 - CDJ'!X$40</f>
        <v>0</v>
      </c>
      <c r="Y5" s="274">
        <f>'03 - CDJ'!Y$40</f>
        <v>0</v>
      </c>
      <c r="Z5" s="274">
        <f>'03 - CDJ'!Z$40</f>
        <v>0</v>
      </c>
      <c r="AA5" s="274">
        <f>'03 - CDJ'!AA$40</f>
        <v>0</v>
      </c>
      <c r="AB5" s="274">
        <f>'03 - CDJ'!AB$40</f>
        <v>0</v>
      </c>
      <c r="AC5" s="274">
        <f>'03 - CDJ'!AC$40</f>
        <v>0</v>
      </c>
      <c r="AD5" s="274">
        <f>'03 - CDJ'!AD$40</f>
        <v>0</v>
      </c>
      <c r="AE5" s="274">
        <f>'03 - CDJ'!AE$40</f>
        <v>0</v>
      </c>
      <c r="AF5" s="274">
        <f>'03 - CDJ'!AF$40</f>
        <v>0</v>
      </c>
      <c r="AG5" s="274">
        <f>'03 - CDJ'!AG$40</f>
        <v>0</v>
      </c>
      <c r="AH5" s="274">
        <f>'03 - CDJ'!AH$40</f>
        <v>0</v>
      </c>
      <c r="AI5" s="274">
        <f>'03 - CDJ'!AI$40</f>
        <v>0</v>
      </c>
      <c r="AJ5" s="274">
        <f>'03 - CDJ'!AJ$40</f>
        <v>0</v>
      </c>
      <c r="AK5" s="274">
        <f>'03 - CDJ'!AK$40</f>
        <v>0</v>
      </c>
      <c r="AL5" s="274">
        <f>'03 - CDJ'!AL$40</f>
        <v>0</v>
      </c>
      <c r="AM5" s="274">
        <f>'03 - CDJ'!AM$40</f>
        <v>0</v>
      </c>
      <c r="AN5" s="274">
        <f>'03 - CDJ'!AN$40</f>
        <v>0</v>
      </c>
      <c r="AO5" s="274">
        <f>'03 - CDJ'!AO$40</f>
        <v>0</v>
      </c>
      <c r="AP5" s="274">
        <f>'03 - CDJ'!AP$40</f>
        <v>0</v>
      </c>
      <c r="AQ5" s="274">
        <f>'03 - CDJ'!AQ$40</f>
        <v>0</v>
      </c>
      <c r="AR5" s="274">
        <f>'03 - CDJ'!AR$40</f>
        <v>0</v>
      </c>
      <c r="AS5" s="274">
        <f>'03 - CDJ'!AS$40</f>
        <v>0</v>
      </c>
      <c r="AT5" s="274">
        <f>'03 - CDJ'!AT$40</f>
        <v>0</v>
      </c>
      <c r="AU5" s="274">
        <f>'03 - CDJ'!AY$40</f>
        <v>0</v>
      </c>
      <c r="AV5" s="274">
        <f>'03 - CDJ'!AZ$40</f>
        <v>0</v>
      </c>
      <c r="AW5" s="274">
        <f>'03 - CDJ'!BA$40</f>
        <v>0</v>
      </c>
      <c r="AX5" s="274">
        <f>'03 - CDJ'!BB$40</f>
        <v>0</v>
      </c>
      <c r="AY5" s="274">
        <f>'03 - CDJ'!BC$40</f>
        <v>0</v>
      </c>
      <c r="AZ5" s="275">
        <f>'03 - CDJ'!BD$40</f>
        <v>0</v>
      </c>
      <c r="BA5" s="126" t="s">
        <v>74</v>
      </c>
    </row>
    <row r="6" spans="1:53" ht="15.75" thickBot="1" x14ac:dyDescent="0.25">
      <c r="A6" s="95" t="s">
        <v>75</v>
      </c>
      <c r="B6" s="277">
        <f>'04 - CDJ'!$E$40</f>
        <v>0</v>
      </c>
      <c r="C6" s="277">
        <f>'04 - CDJ'!$E$43</f>
        <v>0</v>
      </c>
      <c r="D6" s="277">
        <f>'04 - CDJ'!$E$44</f>
        <v>0</v>
      </c>
      <c r="E6" s="296">
        <f t="shared" si="1"/>
        <v>0</v>
      </c>
      <c r="F6" s="297" t="s">
        <v>75</v>
      </c>
      <c r="G6" s="115">
        <f>'04 - CDJ'!$D$47</f>
        <v>0</v>
      </c>
      <c r="H6" s="127">
        <f>'04 - CDJ'!$J$3</f>
        <v>0</v>
      </c>
      <c r="I6" s="127">
        <f>'04 - CDJ'!$I$3</f>
        <v>0</v>
      </c>
      <c r="J6" s="128">
        <f>'04 - CDJ'!$L$3</f>
        <v>0</v>
      </c>
      <c r="K6" s="123">
        <f t="shared" ref="K6:K14" si="3">G6-H6-I6-J6</f>
        <v>0</v>
      </c>
      <c r="L6" s="148">
        <f t="shared" si="2"/>
        <v>0</v>
      </c>
      <c r="M6" s="120" t="s">
        <v>75</v>
      </c>
      <c r="N6" s="276">
        <f>'04 - CDJ'!$N$40</f>
        <v>0</v>
      </c>
      <c r="O6" s="277">
        <f>'04 - CDJ'!$O$40</f>
        <v>0</v>
      </c>
      <c r="P6" s="277">
        <f>'04 - CDJ'!P$40</f>
        <v>0</v>
      </c>
      <c r="Q6" s="277">
        <f>'04 - CDJ'!Q$40</f>
        <v>0</v>
      </c>
      <c r="R6" s="277">
        <f>'04 - CDJ'!R$40</f>
        <v>0</v>
      </c>
      <c r="S6" s="278">
        <f>'04 - CDJ'!S$40</f>
        <v>0</v>
      </c>
      <c r="T6" s="280">
        <f>'04 - CDJ'!T$40</f>
        <v>0</v>
      </c>
      <c r="U6" s="280">
        <f>'04 - CDJ'!U$40</f>
        <v>0</v>
      </c>
      <c r="V6" s="280">
        <f>'04 - CDJ'!V$40</f>
        <v>0</v>
      </c>
      <c r="W6" s="280">
        <f>'04 - CDJ'!W$40</f>
        <v>0</v>
      </c>
      <c r="X6" s="280">
        <f>'04 - CDJ'!X$40</f>
        <v>0</v>
      </c>
      <c r="Y6" s="280">
        <f>'04 - CDJ'!Y$40</f>
        <v>0</v>
      </c>
      <c r="Z6" s="280">
        <f>'04 - CDJ'!Z$40</f>
        <v>0</v>
      </c>
      <c r="AA6" s="280">
        <f>'04 - CDJ'!AA$40</f>
        <v>0</v>
      </c>
      <c r="AB6" s="280">
        <f>'04 - CDJ'!AB$40</f>
        <v>0</v>
      </c>
      <c r="AC6" s="280">
        <f>'04 - CDJ'!AC$40</f>
        <v>0</v>
      </c>
      <c r="AD6" s="280">
        <f>'04 - CDJ'!AD$40</f>
        <v>0</v>
      </c>
      <c r="AE6" s="280">
        <f>'04 - CDJ'!AE$40</f>
        <v>0</v>
      </c>
      <c r="AF6" s="280">
        <f>'04 - CDJ'!AF$40</f>
        <v>0</v>
      </c>
      <c r="AG6" s="280">
        <f>'04 - CDJ'!AG$40</f>
        <v>0</v>
      </c>
      <c r="AH6" s="280">
        <f>'04 - CDJ'!AH$40</f>
        <v>0</v>
      </c>
      <c r="AI6" s="280">
        <f>'04 - CDJ'!AI$40</f>
        <v>0</v>
      </c>
      <c r="AJ6" s="280">
        <f>'04 - CDJ'!AJ$40</f>
        <v>0</v>
      </c>
      <c r="AK6" s="280">
        <f>'04 - CDJ'!AK$40</f>
        <v>0</v>
      </c>
      <c r="AL6" s="280">
        <f>'04 - CDJ'!AL$40</f>
        <v>0</v>
      </c>
      <c r="AM6" s="280">
        <f>'04 - CDJ'!AM$40</f>
        <v>0</v>
      </c>
      <c r="AN6" s="280">
        <f>'04 - CDJ'!AN$40</f>
        <v>0</v>
      </c>
      <c r="AO6" s="280">
        <f>'04 - CDJ'!AO$40</f>
        <v>0</v>
      </c>
      <c r="AP6" s="280">
        <f>'04 - CDJ'!AP$40</f>
        <v>0</v>
      </c>
      <c r="AQ6" s="280">
        <f>'04 - CDJ'!AQ$40</f>
        <v>0</v>
      </c>
      <c r="AR6" s="280">
        <f>'04 - CDJ'!AR$40</f>
        <v>0</v>
      </c>
      <c r="AS6" s="280">
        <f>'04 - CDJ'!AS$40</f>
        <v>0</v>
      </c>
      <c r="AT6" s="280">
        <f>'04 - CDJ'!AT$40</f>
        <v>0</v>
      </c>
      <c r="AU6" s="280">
        <f>'04 - CDJ'!AY$40</f>
        <v>0</v>
      </c>
      <c r="AV6" s="280">
        <f>'04 - CDJ'!AZ$40</f>
        <v>0</v>
      </c>
      <c r="AW6" s="280">
        <f>'04 - CDJ'!BA$40</f>
        <v>0</v>
      </c>
      <c r="AX6" s="280">
        <f>'04 - CDJ'!BB$40</f>
        <v>0</v>
      </c>
      <c r="AY6" s="280">
        <f>'04 - CDJ'!BC$40</f>
        <v>0</v>
      </c>
      <c r="AZ6" s="281">
        <f>'04 - CDJ'!BD$40</f>
        <v>0</v>
      </c>
      <c r="BA6" s="87" t="s">
        <v>75</v>
      </c>
    </row>
    <row r="7" spans="1:53" ht="15.75" thickBot="1" x14ac:dyDescent="0.25">
      <c r="A7" s="121" t="s">
        <v>76</v>
      </c>
      <c r="B7" s="273">
        <f>'05 - CDJ'!$E$40</f>
        <v>0</v>
      </c>
      <c r="C7" s="273">
        <f>'05 - CDJ'!$E$43</f>
        <v>0</v>
      </c>
      <c r="D7" s="273">
        <f>'05 - CDJ'!$E$44</f>
        <v>0</v>
      </c>
      <c r="E7" s="294">
        <f t="shared" si="1"/>
        <v>0</v>
      </c>
      <c r="F7" s="295" t="s">
        <v>76</v>
      </c>
      <c r="G7" s="122">
        <f>'05 - CDJ'!$D$47</f>
        <v>0</v>
      </c>
      <c r="H7" s="127">
        <f>'05 - CDJ'!$J$3</f>
        <v>0</v>
      </c>
      <c r="I7" s="127">
        <f>'05 - CDJ'!$I$3</f>
        <v>0</v>
      </c>
      <c r="J7" s="128">
        <f>'05 - CDJ'!$L$3</f>
        <v>0</v>
      </c>
      <c r="K7" s="123">
        <f t="shared" si="3"/>
        <v>0</v>
      </c>
      <c r="L7" s="148">
        <f t="shared" si="2"/>
        <v>0</v>
      </c>
      <c r="M7" s="124" t="s">
        <v>76</v>
      </c>
      <c r="N7" s="272">
        <f>'05 - CDJ'!$N$40</f>
        <v>0</v>
      </c>
      <c r="O7" s="273">
        <f>'05 - CDJ'!$O$40</f>
        <v>0</v>
      </c>
      <c r="P7" s="273">
        <f>'05 - CDJ'!P$40</f>
        <v>0</v>
      </c>
      <c r="Q7" s="273">
        <f>'05 - CDJ'!Q$40</f>
        <v>0</v>
      </c>
      <c r="R7" s="273">
        <f>'05 - CDJ'!R$40</f>
        <v>0</v>
      </c>
      <c r="S7" s="274">
        <f>'05 - CDJ'!S$40</f>
        <v>0</v>
      </c>
      <c r="T7" s="282">
        <f>'05 - CDJ'!T$40</f>
        <v>0</v>
      </c>
      <c r="U7" s="282">
        <f>'05 - CDJ'!U$40</f>
        <v>0</v>
      </c>
      <c r="V7" s="282">
        <f>'05 - CDJ'!V$40</f>
        <v>0</v>
      </c>
      <c r="W7" s="282">
        <f>'05 - CDJ'!W$40</f>
        <v>0</v>
      </c>
      <c r="X7" s="282">
        <f>'05 - CDJ'!X$40</f>
        <v>0</v>
      </c>
      <c r="Y7" s="282">
        <f>'05 - CDJ'!Y$40</f>
        <v>0</v>
      </c>
      <c r="Z7" s="282">
        <f>'05 - CDJ'!Z$40</f>
        <v>0</v>
      </c>
      <c r="AA7" s="282">
        <f>'05 - CDJ'!AA$40</f>
        <v>0</v>
      </c>
      <c r="AB7" s="282">
        <f>'05 - CDJ'!AB$40</f>
        <v>0</v>
      </c>
      <c r="AC7" s="282">
        <f>'05 - CDJ'!AC$40</f>
        <v>0</v>
      </c>
      <c r="AD7" s="282">
        <f>'05 - CDJ'!AD$40</f>
        <v>0</v>
      </c>
      <c r="AE7" s="282">
        <f>'05 - CDJ'!AE$40</f>
        <v>0</v>
      </c>
      <c r="AF7" s="282">
        <f>'05 - CDJ'!AF$40</f>
        <v>0</v>
      </c>
      <c r="AG7" s="282">
        <f>'05 - CDJ'!AG$40</f>
        <v>0</v>
      </c>
      <c r="AH7" s="282">
        <f>'05 - CDJ'!AH$40</f>
        <v>0</v>
      </c>
      <c r="AI7" s="282">
        <f>'05 - CDJ'!AI$40</f>
        <v>0</v>
      </c>
      <c r="AJ7" s="282">
        <f>'05 - CDJ'!AJ$40</f>
        <v>0</v>
      </c>
      <c r="AK7" s="282">
        <f>'05 - CDJ'!AK$40</f>
        <v>0</v>
      </c>
      <c r="AL7" s="282">
        <f>'05 - CDJ'!AL$40</f>
        <v>0</v>
      </c>
      <c r="AM7" s="282">
        <f>'05 - CDJ'!AM$40</f>
        <v>0</v>
      </c>
      <c r="AN7" s="282">
        <f>'05 - CDJ'!AN$40</f>
        <v>0</v>
      </c>
      <c r="AO7" s="282">
        <f>'05 - CDJ'!AO$40</f>
        <v>0</v>
      </c>
      <c r="AP7" s="282">
        <f>'05 - CDJ'!AP$40</f>
        <v>0</v>
      </c>
      <c r="AQ7" s="282">
        <f>'05 - CDJ'!AQ$40</f>
        <v>0</v>
      </c>
      <c r="AR7" s="282">
        <f>'05 - CDJ'!AR$40</f>
        <v>0</v>
      </c>
      <c r="AS7" s="282">
        <f>'05 - CDJ'!AS$40</f>
        <v>0</v>
      </c>
      <c r="AT7" s="282">
        <f>'05 - CDJ'!AT$40</f>
        <v>0</v>
      </c>
      <c r="AU7" s="282">
        <f>'05 - CDJ'!AY$40</f>
        <v>0</v>
      </c>
      <c r="AV7" s="282">
        <f>'05 - CDJ'!AZ$40</f>
        <v>0</v>
      </c>
      <c r="AW7" s="282">
        <f>'05 - CDJ'!BA$40</f>
        <v>0</v>
      </c>
      <c r="AX7" s="282">
        <f>'05 - CDJ'!BB$40</f>
        <v>0</v>
      </c>
      <c r="AY7" s="282">
        <f>'05 - CDJ'!BC$40</f>
        <v>0</v>
      </c>
      <c r="AZ7" s="283">
        <f>'05 - CDJ'!BD$40</f>
        <v>0</v>
      </c>
      <c r="BA7" s="126" t="s">
        <v>76</v>
      </c>
    </row>
    <row r="8" spans="1:53" ht="15.75" thickBot="1" x14ac:dyDescent="0.25">
      <c r="A8" s="95" t="s">
        <v>77</v>
      </c>
      <c r="B8" s="277">
        <f>'06 - CDJ'!$E$40</f>
        <v>0</v>
      </c>
      <c r="C8" s="277">
        <f>'06 - CDJ'!$E$43</f>
        <v>0</v>
      </c>
      <c r="D8" s="277">
        <f>'06 - CDJ'!$E$44</f>
        <v>0</v>
      </c>
      <c r="E8" s="296">
        <f t="shared" si="1"/>
        <v>0</v>
      </c>
      <c r="F8" s="297" t="s">
        <v>77</v>
      </c>
      <c r="G8" s="115">
        <f>'06 - CDJ'!$D$47</f>
        <v>0</v>
      </c>
      <c r="H8" s="127">
        <f>'06 - CDJ'!$J$3</f>
        <v>0</v>
      </c>
      <c r="I8" s="127">
        <f>'06 - CDJ'!$I$3</f>
        <v>0</v>
      </c>
      <c r="J8" s="128">
        <f>'06 - CDJ'!$L$3</f>
        <v>0</v>
      </c>
      <c r="K8" s="123">
        <f t="shared" si="3"/>
        <v>0</v>
      </c>
      <c r="L8" s="148">
        <f t="shared" si="2"/>
        <v>0</v>
      </c>
      <c r="M8" s="120" t="s">
        <v>77</v>
      </c>
      <c r="N8" s="276">
        <f>'06 - CDJ'!$N$40</f>
        <v>0</v>
      </c>
      <c r="O8" s="277">
        <f>'06 - CDJ'!$O$40</f>
        <v>0</v>
      </c>
      <c r="P8" s="277">
        <f>'06 - CDJ'!P$40</f>
        <v>0</v>
      </c>
      <c r="Q8" s="277">
        <f>'06 - CDJ'!Q$40</f>
        <v>0</v>
      </c>
      <c r="R8" s="277">
        <f>'06 - CDJ'!R$40</f>
        <v>0</v>
      </c>
      <c r="S8" s="278">
        <f>'06 - CDJ'!S$40</f>
        <v>0</v>
      </c>
      <c r="T8" s="280">
        <f>'06 - CDJ'!T$40</f>
        <v>0</v>
      </c>
      <c r="U8" s="280">
        <f>'06 - CDJ'!U$40</f>
        <v>0</v>
      </c>
      <c r="V8" s="280">
        <f>'06 - CDJ'!V$40</f>
        <v>0</v>
      </c>
      <c r="W8" s="280">
        <f>'06 - CDJ'!W$40</f>
        <v>0</v>
      </c>
      <c r="X8" s="280">
        <f>'06 - CDJ'!X$40</f>
        <v>0</v>
      </c>
      <c r="Y8" s="280">
        <f>'06 - CDJ'!Y$40</f>
        <v>0</v>
      </c>
      <c r="Z8" s="280">
        <f>'06 - CDJ'!Z$40</f>
        <v>0</v>
      </c>
      <c r="AA8" s="280">
        <f>'06 - CDJ'!AA$40</f>
        <v>0</v>
      </c>
      <c r="AB8" s="280">
        <f>'06 - CDJ'!AB$40</f>
        <v>0</v>
      </c>
      <c r="AC8" s="280">
        <f>'06 - CDJ'!AC$40</f>
        <v>0</v>
      </c>
      <c r="AD8" s="280">
        <f>'06 - CDJ'!AD$40</f>
        <v>0</v>
      </c>
      <c r="AE8" s="280">
        <f>'06 - CDJ'!AE$40</f>
        <v>0</v>
      </c>
      <c r="AF8" s="280">
        <f>'06 - CDJ'!AF$40</f>
        <v>0</v>
      </c>
      <c r="AG8" s="280">
        <f>'06 - CDJ'!AG$40</f>
        <v>0</v>
      </c>
      <c r="AH8" s="280">
        <f>'06 - CDJ'!AH$40</f>
        <v>0</v>
      </c>
      <c r="AI8" s="280">
        <f>'06 - CDJ'!AI$40</f>
        <v>0</v>
      </c>
      <c r="AJ8" s="280">
        <f>'06 - CDJ'!AJ$40</f>
        <v>0</v>
      </c>
      <c r="AK8" s="280">
        <f>'06 - CDJ'!AK$40</f>
        <v>0</v>
      </c>
      <c r="AL8" s="280">
        <f>'06 - CDJ'!AL$40</f>
        <v>0</v>
      </c>
      <c r="AM8" s="280">
        <f>'06 - CDJ'!AM$40</f>
        <v>0</v>
      </c>
      <c r="AN8" s="280">
        <f>'06 - CDJ'!AN$40</f>
        <v>0</v>
      </c>
      <c r="AO8" s="280">
        <f>'06 - CDJ'!AO$40</f>
        <v>0</v>
      </c>
      <c r="AP8" s="280">
        <f>'06 - CDJ'!AP$40</f>
        <v>0</v>
      </c>
      <c r="AQ8" s="280">
        <f>'06 - CDJ'!AQ$40</f>
        <v>0</v>
      </c>
      <c r="AR8" s="280">
        <f>'06 - CDJ'!AR$40</f>
        <v>0</v>
      </c>
      <c r="AS8" s="280">
        <f>'06 - CDJ'!AS$40</f>
        <v>0</v>
      </c>
      <c r="AT8" s="280">
        <f>'06 - CDJ'!AT$40</f>
        <v>0</v>
      </c>
      <c r="AU8" s="280">
        <f>'06 - CDJ'!AY$40</f>
        <v>0</v>
      </c>
      <c r="AV8" s="280">
        <f>'06 - CDJ'!AZ$40</f>
        <v>0</v>
      </c>
      <c r="AW8" s="280">
        <f>'06 - CDJ'!BA$40</f>
        <v>0</v>
      </c>
      <c r="AX8" s="280">
        <f>'06 - CDJ'!BB$40</f>
        <v>0</v>
      </c>
      <c r="AY8" s="280">
        <f>'06 - CDJ'!BC$40</f>
        <v>0</v>
      </c>
      <c r="AZ8" s="281">
        <f>'06 - CDJ'!BD$40</f>
        <v>0</v>
      </c>
      <c r="BA8" s="87" t="s">
        <v>77</v>
      </c>
    </row>
    <row r="9" spans="1:53" ht="15.75" thickBot="1" x14ac:dyDescent="0.25">
      <c r="A9" s="121" t="s">
        <v>78</v>
      </c>
      <c r="B9" s="273">
        <f>'07 - CDJ'!$E$40</f>
        <v>0</v>
      </c>
      <c r="C9" s="277">
        <f>'07 - CDJ'!$E$43</f>
        <v>0</v>
      </c>
      <c r="D9" s="273">
        <f>'07 - CDJ'!$E$44</f>
        <v>0</v>
      </c>
      <c r="E9" s="294">
        <f t="shared" si="1"/>
        <v>0</v>
      </c>
      <c r="F9" s="295" t="s">
        <v>78</v>
      </c>
      <c r="G9" s="122">
        <f>'07 - CDJ'!$D$47</f>
        <v>0</v>
      </c>
      <c r="H9" s="127">
        <f>'07 - CDJ'!$J$3</f>
        <v>0</v>
      </c>
      <c r="I9" s="127">
        <f>'07 - CDJ'!$I$3</f>
        <v>0</v>
      </c>
      <c r="J9" s="128">
        <f>'07 - CDJ'!$L$3</f>
        <v>0</v>
      </c>
      <c r="K9" s="123">
        <f t="shared" si="3"/>
        <v>0</v>
      </c>
      <c r="L9" s="148">
        <f t="shared" si="2"/>
        <v>0</v>
      </c>
      <c r="M9" s="124" t="s">
        <v>78</v>
      </c>
      <c r="N9" s="284">
        <f>'07 - CDJ'!$N$40</f>
        <v>0</v>
      </c>
      <c r="O9" s="285">
        <f>'07 - CDJ'!$O$40</f>
        <v>0</v>
      </c>
      <c r="P9" s="285">
        <f>'07 - CDJ'!P$40</f>
        <v>0</v>
      </c>
      <c r="Q9" s="285">
        <f>'07 - CDJ'!Q$40</f>
        <v>0</v>
      </c>
      <c r="R9" s="285">
        <f>'07 - CDJ'!R$40</f>
        <v>0</v>
      </c>
      <c r="S9" s="274">
        <f>'07 - CDJ'!S$40</f>
        <v>0</v>
      </c>
      <c r="T9" s="282">
        <f>'07 - CDJ'!T$40</f>
        <v>0</v>
      </c>
      <c r="U9" s="282">
        <f>'07 - CDJ'!U$40</f>
        <v>0</v>
      </c>
      <c r="V9" s="282">
        <f>'07 - CDJ'!V$40</f>
        <v>0</v>
      </c>
      <c r="W9" s="282">
        <f>'07 - CDJ'!W$40</f>
        <v>0</v>
      </c>
      <c r="X9" s="282">
        <f>'07 - CDJ'!X$40</f>
        <v>0</v>
      </c>
      <c r="Y9" s="282">
        <f>'07 - CDJ'!Y$40</f>
        <v>0</v>
      </c>
      <c r="Z9" s="282">
        <f>'07 - CDJ'!Z$40</f>
        <v>0</v>
      </c>
      <c r="AA9" s="282">
        <f>'07 - CDJ'!AA$40</f>
        <v>0</v>
      </c>
      <c r="AB9" s="282">
        <f>'07 - CDJ'!AB$40</f>
        <v>0</v>
      </c>
      <c r="AC9" s="282">
        <f>'07 - CDJ'!AC$40</f>
        <v>0</v>
      </c>
      <c r="AD9" s="282">
        <f>'07 - CDJ'!AD$40</f>
        <v>0</v>
      </c>
      <c r="AE9" s="282">
        <f>'07 - CDJ'!AE$40</f>
        <v>0</v>
      </c>
      <c r="AF9" s="282">
        <f>'07 - CDJ'!AF$40</f>
        <v>0</v>
      </c>
      <c r="AG9" s="282">
        <f>'07 - CDJ'!AG$40</f>
        <v>0</v>
      </c>
      <c r="AH9" s="282">
        <f>'07 - CDJ'!AH$40</f>
        <v>0</v>
      </c>
      <c r="AI9" s="282">
        <f>'07 - CDJ'!AI$40</f>
        <v>0</v>
      </c>
      <c r="AJ9" s="282">
        <f>'07 - CDJ'!AJ$40</f>
        <v>0</v>
      </c>
      <c r="AK9" s="282">
        <f>'07 - CDJ'!AK$40</f>
        <v>0</v>
      </c>
      <c r="AL9" s="282">
        <f>'07 - CDJ'!AL$40</f>
        <v>0</v>
      </c>
      <c r="AM9" s="282">
        <f>'07 - CDJ'!AM$40</f>
        <v>0</v>
      </c>
      <c r="AN9" s="282">
        <f>'07 - CDJ'!AN$40</f>
        <v>0</v>
      </c>
      <c r="AO9" s="282">
        <f>'07 - CDJ'!AO$40</f>
        <v>0</v>
      </c>
      <c r="AP9" s="282">
        <f>'07 - CDJ'!AP$40</f>
        <v>0</v>
      </c>
      <c r="AQ9" s="282">
        <f>'07 - CDJ'!AQ$40</f>
        <v>0</v>
      </c>
      <c r="AR9" s="282">
        <f>'07 - CDJ'!AR$40</f>
        <v>0</v>
      </c>
      <c r="AS9" s="282">
        <f>'07 - CDJ'!AS$40</f>
        <v>0</v>
      </c>
      <c r="AT9" s="282">
        <v>105</v>
      </c>
      <c r="AU9" s="282">
        <f>'07 - CDJ'!AY$40</f>
        <v>0</v>
      </c>
      <c r="AV9" s="282">
        <f>'07 - CDJ'!AZ$40</f>
        <v>0</v>
      </c>
      <c r="AW9" s="282">
        <f>'07 - CDJ'!BA$40</f>
        <v>0</v>
      </c>
      <c r="AX9" s="282">
        <f>'07 - CDJ'!BB$40</f>
        <v>0</v>
      </c>
      <c r="AY9" s="282">
        <f>'07 - CDJ'!BC$40</f>
        <v>0</v>
      </c>
      <c r="AZ9" s="283">
        <f>'07 - CDJ'!BD$40</f>
        <v>0</v>
      </c>
      <c r="BA9" s="126" t="s">
        <v>78</v>
      </c>
    </row>
    <row r="10" spans="1:53" ht="15.75" thickBot="1" x14ac:dyDescent="0.25">
      <c r="A10" s="95" t="s">
        <v>79</v>
      </c>
      <c r="B10" s="277">
        <f>'08 - CDJ'!$E$40</f>
        <v>0</v>
      </c>
      <c r="C10" s="277">
        <f>'08 - CDJ'!$E$43</f>
        <v>0</v>
      </c>
      <c r="D10" s="277">
        <f>'08 - CDJ'!$E$44</f>
        <v>0</v>
      </c>
      <c r="E10" s="296">
        <f t="shared" si="1"/>
        <v>0</v>
      </c>
      <c r="F10" s="297" t="s">
        <v>79</v>
      </c>
      <c r="G10" s="115">
        <f>'08 - CDJ'!$D$47</f>
        <v>0</v>
      </c>
      <c r="H10" s="127">
        <f>'08 - CDJ'!$J$3</f>
        <v>0</v>
      </c>
      <c r="I10" s="127">
        <f>'08 - CDJ'!$I$3</f>
        <v>0</v>
      </c>
      <c r="J10" s="128">
        <f>'08 - CDJ'!$L$3</f>
        <v>0</v>
      </c>
      <c r="K10" s="123">
        <f t="shared" si="3"/>
        <v>0</v>
      </c>
      <c r="L10" s="148">
        <f t="shared" si="2"/>
        <v>0</v>
      </c>
      <c r="M10" s="120" t="s">
        <v>79</v>
      </c>
      <c r="N10" s="276">
        <f>'08 - CDJ'!$N$40</f>
        <v>0</v>
      </c>
      <c r="O10" s="277">
        <f>'08 - CDJ'!$O$40</f>
        <v>0</v>
      </c>
      <c r="P10" s="277">
        <f>'08 - CDJ'!P$40</f>
        <v>0</v>
      </c>
      <c r="Q10" s="277">
        <f>'08 - CDJ'!Q$40</f>
        <v>0</v>
      </c>
      <c r="R10" s="277">
        <f>'08 - CDJ'!R$40</f>
        <v>0</v>
      </c>
      <c r="S10" s="278">
        <f>'08 - CDJ'!S$40</f>
        <v>0</v>
      </c>
      <c r="T10" s="280">
        <f>'08 - CDJ'!T$40</f>
        <v>0</v>
      </c>
      <c r="U10" s="280">
        <f>'08 - CDJ'!U$40</f>
        <v>0</v>
      </c>
      <c r="V10" s="280">
        <f>'08 - CDJ'!V$40</f>
        <v>0</v>
      </c>
      <c r="W10" s="280">
        <f>'08 - CDJ'!W$40</f>
        <v>0</v>
      </c>
      <c r="X10" s="280">
        <f>'08 - CDJ'!X$40</f>
        <v>0</v>
      </c>
      <c r="Y10" s="280">
        <f>'08 - CDJ'!Y$40</f>
        <v>0</v>
      </c>
      <c r="Z10" s="280">
        <f>'08 - CDJ'!Z$40</f>
        <v>0</v>
      </c>
      <c r="AA10" s="280">
        <f>'08 - CDJ'!AA$40</f>
        <v>0</v>
      </c>
      <c r="AB10" s="280">
        <f>'08 - CDJ'!AB$40</f>
        <v>0</v>
      </c>
      <c r="AC10" s="280">
        <f>'08 - CDJ'!AC$40</f>
        <v>0</v>
      </c>
      <c r="AD10" s="280">
        <f>'08 - CDJ'!AD$40</f>
        <v>0</v>
      </c>
      <c r="AE10" s="280">
        <f>'08 - CDJ'!AE$40</f>
        <v>0</v>
      </c>
      <c r="AF10" s="280">
        <f>'08 - CDJ'!AF$40</f>
        <v>0</v>
      </c>
      <c r="AG10" s="280">
        <f>'08 - CDJ'!AG$40</f>
        <v>0</v>
      </c>
      <c r="AH10" s="280">
        <f>'08 - CDJ'!AH$40</f>
        <v>0</v>
      </c>
      <c r="AI10" s="280">
        <f>'08 - CDJ'!AI$40</f>
        <v>0</v>
      </c>
      <c r="AJ10" s="280">
        <f>'08 - CDJ'!AJ$40</f>
        <v>0</v>
      </c>
      <c r="AK10" s="280">
        <f>'08 - CDJ'!AK$40</f>
        <v>0</v>
      </c>
      <c r="AL10" s="280">
        <f>'08 - CDJ'!AL$40</f>
        <v>0</v>
      </c>
      <c r="AM10" s="280">
        <f>'08 - CDJ'!AM$40</f>
        <v>0</v>
      </c>
      <c r="AN10" s="280">
        <f>'08 - CDJ'!AN$40</f>
        <v>0</v>
      </c>
      <c r="AO10" s="280">
        <f>'08 - CDJ'!AO$40</f>
        <v>0</v>
      </c>
      <c r="AP10" s="280">
        <f>'08 - CDJ'!AP$40</f>
        <v>0</v>
      </c>
      <c r="AQ10" s="280">
        <f>'08 - CDJ'!AQ$40</f>
        <v>0</v>
      </c>
      <c r="AR10" s="280">
        <f>'08 - CDJ'!AR$40</f>
        <v>0</v>
      </c>
      <c r="AS10" s="280">
        <f>'08 - CDJ'!AS$40</f>
        <v>0</v>
      </c>
      <c r="AT10" s="280">
        <f>'08 - CDJ'!AT$40</f>
        <v>0</v>
      </c>
      <c r="AU10" s="280">
        <f>'08 - CDJ'!AY$40</f>
        <v>0</v>
      </c>
      <c r="AV10" s="280">
        <f>'08 - CDJ'!AZ$40</f>
        <v>0</v>
      </c>
      <c r="AW10" s="280">
        <f>'08 - CDJ'!BA$40</f>
        <v>0</v>
      </c>
      <c r="AX10" s="280">
        <f>'08 - CDJ'!BB$40</f>
        <v>0</v>
      </c>
      <c r="AY10" s="280">
        <f>'08 - CDJ'!BC$40</f>
        <v>0</v>
      </c>
      <c r="AZ10" s="281">
        <f>'08 - CDJ'!BD$40</f>
        <v>0</v>
      </c>
      <c r="BA10" s="87" t="s">
        <v>79</v>
      </c>
    </row>
    <row r="11" spans="1:53" ht="15.75" thickBot="1" x14ac:dyDescent="0.25">
      <c r="A11" s="121" t="s">
        <v>80</v>
      </c>
      <c r="B11" s="273">
        <f>'09 - CDJ'!$E$40</f>
        <v>0</v>
      </c>
      <c r="C11" s="273">
        <f>'09 - CDJ'!$E$43</f>
        <v>0</v>
      </c>
      <c r="D11" s="273">
        <f>'09 - CDJ'!$E$44</f>
        <v>0</v>
      </c>
      <c r="E11" s="294">
        <f t="shared" si="1"/>
        <v>0</v>
      </c>
      <c r="F11" s="295" t="s">
        <v>80</v>
      </c>
      <c r="G11" s="122">
        <f>'09 - CDJ'!$D$47</f>
        <v>0</v>
      </c>
      <c r="H11" s="127">
        <f>'09 - CDJ'!$J$3</f>
        <v>0</v>
      </c>
      <c r="I11" s="127">
        <f>'09 - CDJ'!$I$3</f>
        <v>0</v>
      </c>
      <c r="J11" s="128">
        <f>'09 - CDJ'!$L$3</f>
        <v>0</v>
      </c>
      <c r="K11" s="123">
        <f t="shared" si="3"/>
        <v>0</v>
      </c>
      <c r="L11" s="148">
        <f t="shared" si="2"/>
        <v>0</v>
      </c>
      <c r="M11" s="124" t="s">
        <v>80</v>
      </c>
      <c r="N11" s="272">
        <f>'09 - CDJ'!$N$40</f>
        <v>0</v>
      </c>
      <c r="O11" s="273">
        <f>'09 - CDJ'!$O$40</f>
        <v>0</v>
      </c>
      <c r="P11" s="273">
        <f>'09 - CDJ'!P$40</f>
        <v>0</v>
      </c>
      <c r="Q11" s="273">
        <f>'09 - CDJ'!Q$40</f>
        <v>0</v>
      </c>
      <c r="R11" s="273">
        <f>'09 - CDJ'!R$40</f>
        <v>0</v>
      </c>
      <c r="S11" s="274">
        <f>'09 - CDJ'!S$40</f>
        <v>0</v>
      </c>
      <c r="T11" s="282">
        <f>'09 - CDJ'!T$40</f>
        <v>0</v>
      </c>
      <c r="U11" s="282">
        <f>'09 - CDJ'!U$40</f>
        <v>0</v>
      </c>
      <c r="V11" s="282">
        <f>'09 - CDJ'!V$40</f>
        <v>0</v>
      </c>
      <c r="W11" s="282">
        <f>'09 - CDJ'!W$40</f>
        <v>0</v>
      </c>
      <c r="X11" s="282">
        <f>'09 - CDJ'!X$40</f>
        <v>0</v>
      </c>
      <c r="Y11" s="282">
        <f>'09 - CDJ'!Y$40</f>
        <v>0</v>
      </c>
      <c r="Z11" s="282">
        <f>'09 - CDJ'!Z$40</f>
        <v>0</v>
      </c>
      <c r="AA11" s="282">
        <f>'09 - CDJ'!AA$40</f>
        <v>0</v>
      </c>
      <c r="AB11" s="282">
        <f>'09 - CDJ'!AB$40</f>
        <v>0</v>
      </c>
      <c r="AC11" s="282">
        <f>'09 - CDJ'!AC$40</f>
        <v>0</v>
      </c>
      <c r="AD11" s="282">
        <f>'09 - CDJ'!AD$40</f>
        <v>0</v>
      </c>
      <c r="AE11" s="282">
        <f>'09 - CDJ'!AE$40</f>
        <v>0</v>
      </c>
      <c r="AF11" s="282">
        <f>'09 - CDJ'!AF$40</f>
        <v>0</v>
      </c>
      <c r="AG11" s="282">
        <f>'09 - CDJ'!AG$40</f>
        <v>0</v>
      </c>
      <c r="AH11" s="282">
        <f>'09 - CDJ'!AH$40</f>
        <v>0</v>
      </c>
      <c r="AI11" s="282">
        <f>'09 - CDJ'!AI$40</f>
        <v>0</v>
      </c>
      <c r="AJ11" s="282">
        <f>'09 - CDJ'!AJ$40</f>
        <v>0</v>
      </c>
      <c r="AK11" s="282">
        <f>'09 - CDJ'!AK$40</f>
        <v>0</v>
      </c>
      <c r="AL11" s="282">
        <f>'09 - CDJ'!AL$40</f>
        <v>0</v>
      </c>
      <c r="AM11" s="282">
        <f>'09 - CDJ'!AM$40</f>
        <v>0</v>
      </c>
      <c r="AN11" s="282">
        <f>'09 - CDJ'!AN$40</f>
        <v>0</v>
      </c>
      <c r="AO11" s="282">
        <f>'09 - CDJ'!AO$40</f>
        <v>0</v>
      </c>
      <c r="AP11" s="282">
        <f>'09 - CDJ'!AP$40</f>
        <v>0</v>
      </c>
      <c r="AQ11" s="282">
        <f>'09 - CDJ'!AQ$40</f>
        <v>0</v>
      </c>
      <c r="AR11" s="282">
        <f>'09 - CDJ'!AR$40</f>
        <v>0</v>
      </c>
      <c r="AS11" s="282">
        <f>'09 - CDJ'!AS$40</f>
        <v>0</v>
      </c>
      <c r="AT11" s="282">
        <f>'09 - CDJ'!AT$40</f>
        <v>0</v>
      </c>
      <c r="AU11" s="282">
        <f>'09 - CDJ'!AY$40</f>
        <v>0</v>
      </c>
      <c r="AV11" s="282">
        <f>'09 - CDJ'!AZ$40</f>
        <v>0</v>
      </c>
      <c r="AW11" s="282">
        <f>'09 - CDJ'!BA$40</f>
        <v>0</v>
      </c>
      <c r="AX11" s="282">
        <f>'09 - CDJ'!BB$40</f>
        <v>0</v>
      </c>
      <c r="AY11" s="282">
        <f>'09 - CDJ'!BC$40</f>
        <v>0</v>
      </c>
      <c r="AZ11" s="283">
        <f>'09 - CDJ'!BD$40</f>
        <v>0</v>
      </c>
      <c r="BA11" s="126" t="s">
        <v>80</v>
      </c>
    </row>
    <row r="12" spans="1:53" ht="15.75" thickBot="1" x14ac:dyDescent="0.25">
      <c r="A12" s="95" t="s">
        <v>81</v>
      </c>
      <c r="B12" s="277">
        <f>'10 - CDJ'!$E$40</f>
        <v>0</v>
      </c>
      <c r="C12" s="277">
        <f>'10 - CDJ'!$E$43</f>
        <v>0</v>
      </c>
      <c r="D12" s="277">
        <f>'10 - CDJ'!$E$44</f>
        <v>0</v>
      </c>
      <c r="E12" s="296">
        <f t="shared" si="1"/>
        <v>0</v>
      </c>
      <c r="F12" s="297" t="s">
        <v>81</v>
      </c>
      <c r="G12" s="115">
        <f>'10 - CDJ'!$D$47</f>
        <v>0</v>
      </c>
      <c r="H12" s="127">
        <f>'10 - CDJ'!$J$3</f>
        <v>0</v>
      </c>
      <c r="I12" s="127">
        <f>'10 - CDJ'!$I$3</f>
        <v>0</v>
      </c>
      <c r="J12" s="128">
        <f>'10 - CDJ'!$L$3</f>
        <v>0</v>
      </c>
      <c r="K12" s="123">
        <f t="shared" si="3"/>
        <v>0</v>
      </c>
      <c r="L12" s="148">
        <f t="shared" si="2"/>
        <v>0</v>
      </c>
      <c r="M12" s="120" t="s">
        <v>81</v>
      </c>
      <c r="N12" s="276">
        <f>'10 - CDJ'!$N$40</f>
        <v>0</v>
      </c>
      <c r="O12" s="277">
        <f>'10 - CDJ'!$O$40</f>
        <v>0</v>
      </c>
      <c r="P12" s="277">
        <f>'10 - CDJ'!P$40</f>
        <v>0</v>
      </c>
      <c r="Q12" s="277">
        <f>'10 - CDJ'!Q$40</f>
        <v>0</v>
      </c>
      <c r="R12" s="277">
        <f>'10 - CDJ'!R$40</f>
        <v>0</v>
      </c>
      <c r="S12" s="278">
        <f>'10 - CDJ'!S$40</f>
        <v>0</v>
      </c>
      <c r="T12" s="280">
        <f>'10 - CDJ'!T$40</f>
        <v>0</v>
      </c>
      <c r="U12" s="280">
        <f>'10 - CDJ'!U$40</f>
        <v>0</v>
      </c>
      <c r="V12" s="280">
        <f>'10 - CDJ'!V$40</f>
        <v>0</v>
      </c>
      <c r="W12" s="280">
        <f>'10 - CDJ'!W$40</f>
        <v>0</v>
      </c>
      <c r="X12" s="280">
        <f>'10 - CDJ'!X$40</f>
        <v>0</v>
      </c>
      <c r="Y12" s="280">
        <f>'10 - CDJ'!Y$40</f>
        <v>0</v>
      </c>
      <c r="Z12" s="280">
        <f>'10 - CDJ'!Z$40</f>
        <v>0</v>
      </c>
      <c r="AA12" s="280">
        <f>'10 - CDJ'!AA$40</f>
        <v>0</v>
      </c>
      <c r="AB12" s="280">
        <f>'10 - CDJ'!AB$40</f>
        <v>0</v>
      </c>
      <c r="AC12" s="280">
        <f>'10 - CDJ'!AC$40</f>
        <v>0</v>
      </c>
      <c r="AD12" s="280">
        <f>'10 - CDJ'!AD$40</f>
        <v>0</v>
      </c>
      <c r="AE12" s="280">
        <f>'10 - CDJ'!AE$40</f>
        <v>0</v>
      </c>
      <c r="AF12" s="280">
        <f>'10 - CDJ'!AF$40</f>
        <v>0</v>
      </c>
      <c r="AG12" s="280">
        <f>'10 - CDJ'!AG$40</f>
        <v>0</v>
      </c>
      <c r="AH12" s="280">
        <f>'10 - CDJ'!AH$40</f>
        <v>0</v>
      </c>
      <c r="AI12" s="280">
        <f>'10 - CDJ'!AI$40</f>
        <v>0</v>
      </c>
      <c r="AJ12" s="280">
        <f>'10 - CDJ'!AJ$40</f>
        <v>0</v>
      </c>
      <c r="AK12" s="280">
        <f>'10 - CDJ'!AK$40</f>
        <v>0</v>
      </c>
      <c r="AL12" s="280">
        <f>'10 - CDJ'!AL$40</f>
        <v>0</v>
      </c>
      <c r="AM12" s="280">
        <f>'10 - CDJ'!AM$40</f>
        <v>0</v>
      </c>
      <c r="AN12" s="280">
        <f>'10 - CDJ'!AN$40</f>
        <v>0</v>
      </c>
      <c r="AO12" s="280">
        <f>'10 - CDJ'!AO$40</f>
        <v>0</v>
      </c>
      <c r="AP12" s="280">
        <f>'10 - CDJ'!AP$40</f>
        <v>0</v>
      </c>
      <c r="AQ12" s="281">
        <f>'10 - CDJ'!AQ$40</f>
        <v>0</v>
      </c>
      <c r="AR12" s="280">
        <f>'10 - CDJ'!AR$40</f>
        <v>0</v>
      </c>
      <c r="AS12" s="280">
        <f>'10 - CDJ'!AS$40</f>
        <v>0</v>
      </c>
      <c r="AT12" s="280">
        <f>'10 - CDJ'!AT$40</f>
        <v>0</v>
      </c>
      <c r="AU12" s="280">
        <f>'10 - CDJ'!AY$40</f>
        <v>0</v>
      </c>
      <c r="AV12" s="280">
        <f>'10 - CDJ'!AZ$40</f>
        <v>0</v>
      </c>
      <c r="AW12" s="280">
        <f>'10 - CDJ'!BA$40</f>
        <v>0</v>
      </c>
      <c r="AX12" s="286">
        <f>'10 - CDJ'!BB$40</f>
        <v>0</v>
      </c>
      <c r="AY12" s="280">
        <f>'10 - CDJ'!BC$40</f>
        <v>0</v>
      </c>
      <c r="AZ12" s="281">
        <f>'10 - CDJ'!BD$40</f>
        <v>0</v>
      </c>
      <c r="BA12" s="87" t="s">
        <v>81</v>
      </c>
    </row>
    <row r="13" spans="1:53" ht="15.75" thickBot="1" x14ac:dyDescent="0.25">
      <c r="A13" s="121" t="s">
        <v>82</v>
      </c>
      <c r="B13" s="273">
        <f>'11 - CDJ'!$E$40</f>
        <v>0</v>
      </c>
      <c r="C13" s="273">
        <f>'11 - CDJ'!$E$43</f>
        <v>0</v>
      </c>
      <c r="D13" s="273">
        <f>'11 - CDJ'!$E$44</f>
        <v>0</v>
      </c>
      <c r="E13" s="294">
        <f t="shared" si="1"/>
        <v>0</v>
      </c>
      <c r="F13" s="295" t="s">
        <v>82</v>
      </c>
      <c r="G13" s="122">
        <f>'11 - CDJ'!$D$47</f>
        <v>0</v>
      </c>
      <c r="H13" s="127">
        <f>'11 - CDJ'!$J$3</f>
        <v>0</v>
      </c>
      <c r="I13" s="127">
        <f>'11 - CDJ'!$I$3</f>
        <v>0</v>
      </c>
      <c r="J13" s="128">
        <f>'11 - CDJ'!$L$3</f>
        <v>0</v>
      </c>
      <c r="K13" s="123">
        <f t="shared" si="3"/>
        <v>0</v>
      </c>
      <c r="L13" s="148">
        <f t="shared" si="2"/>
        <v>0</v>
      </c>
      <c r="M13" s="124" t="s">
        <v>82</v>
      </c>
      <c r="N13" s="272">
        <f>'11 - CDJ'!$N$40</f>
        <v>0</v>
      </c>
      <c r="O13" s="273">
        <f>'11 - CDJ'!$O$40</f>
        <v>0</v>
      </c>
      <c r="P13" s="273">
        <f>'11 - CDJ'!P$40</f>
        <v>0</v>
      </c>
      <c r="Q13" s="273">
        <f>'11 - CDJ'!Q$40</f>
        <v>0</v>
      </c>
      <c r="R13" s="273">
        <f>'11 - CDJ'!R$40</f>
        <v>0</v>
      </c>
      <c r="S13" s="274">
        <f>'11 - CDJ'!S$40</f>
        <v>0</v>
      </c>
      <c r="T13" s="282">
        <f>'11 - CDJ'!T$40</f>
        <v>0</v>
      </c>
      <c r="U13" s="282">
        <f>'11 - CDJ'!U$40</f>
        <v>0</v>
      </c>
      <c r="V13" s="282">
        <f>'11 - CDJ'!V$40</f>
        <v>0</v>
      </c>
      <c r="W13" s="282">
        <f>'11 - CDJ'!W$40</f>
        <v>0</v>
      </c>
      <c r="X13" s="282">
        <f>'11 - CDJ'!X$40</f>
        <v>0</v>
      </c>
      <c r="Y13" s="282">
        <f>'11 - CDJ'!Y$40</f>
        <v>0</v>
      </c>
      <c r="Z13" s="282">
        <f>'11 - CDJ'!Z$40</f>
        <v>0</v>
      </c>
      <c r="AA13" s="282">
        <f>'11 - CDJ'!AA$40</f>
        <v>0</v>
      </c>
      <c r="AB13" s="282">
        <f>'11 - CDJ'!AB$40</f>
        <v>0</v>
      </c>
      <c r="AC13" s="282">
        <f>'11 - CDJ'!AC$40</f>
        <v>0</v>
      </c>
      <c r="AD13" s="282">
        <f>'11 - CDJ'!AD$40</f>
        <v>0</v>
      </c>
      <c r="AE13" s="282">
        <f>'11 - CDJ'!AE$40</f>
        <v>0</v>
      </c>
      <c r="AF13" s="282">
        <f>'11 - CDJ'!AF$40</f>
        <v>0</v>
      </c>
      <c r="AG13" s="282">
        <f>'11 - CDJ'!AG$40</f>
        <v>0</v>
      </c>
      <c r="AH13" s="282">
        <f>'11 - CDJ'!AH$40</f>
        <v>0</v>
      </c>
      <c r="AI13" s="282">
        <f>'11 - CDJ'!AI$40</f>
        <v>0</v>
      </c>
      <c r="AJ13" s="282">
        <f>'11 - CDJ'!AJ$40</f>
        <v>0</v>
      </c>
      <c r="AK13" s="282">
        <f>'11 - CDJ'!AK$40</f>
        <v>0</v>
      </c>
      <c r="AL13" s="282">
        <f>'11 - CDJ'!AL$40</f>
        <v>0</v>
      </c>
      <c r="AM13" s="282">
        <f>'11 - CDJ'!AM$40</f>
        <v>0</v>
      </c>
      <c r="AN13" s="282">
        <f>'11 - CDJ'!AN$40</f>
        <v>0</v>
      </c>
      <c r="AO13" s="282">
        <f>'11 - CDJ'!AO$40</f>
        <v>0</v>
      </c>
      <c r="AP13" s="282">
        <f>'11 - CDJ'!AP$40</f>
        <v>0</v>
      </c>
      <c r="AQ13" s="283">
        <f>'11 - CDJ'!AQ$40</f>
        <v>0</v>
      </c>
      <c r="AR13" s="282">
        <f>'11 - CDJ'!AR$40</f>
        <v>0</v>
      </c>
      <c r="AS13" s="282">
        <f>'11 - CDJ'!AS$40</f>
        <v>0</v>
      </c>
      <c r="AT13" s="282">
        <f>'11 - CDJ'!AT$40</f>
        <v>0</v>
      </c>
      <c r="AU13" s="282">
        <f>'11 - CDJ'!AY$40</f>
        <v>0</v>
      </c>
      <c r="AV13" s="282">
        <f>'11 - CDJ'!AZ$40</f>
        <v>0</v>
      </c>
      <c r="AW13" s="282">
        <f>'11 - CDJ'!BA$40</f>
        <v>0</v>
      </c>
      <c r="AX13" s="287">
        <f>'11 - CDJ'!BB$40</f>
        <v>0</v>
      </c>
      <c r="AY13" s="282">
        <f>'11 - CDJ'!BC$40</f>
        <v>0</v>
      </c>
      <c r="AZ13" s="283">
        <f>'11 - CDJ'!BD$40</f>
        <v>0</v>
      </c>
      <c r="BA13" s="126" t="s">
        <v>82</v>
      </c>
    </row>
    <row r="14" spans="1:53" ht="15.75" thickBot="1" x14ac:dyDescent="0.25">
      <c r="A14" s="95" t="s">
        <v>83</v>
      </c>
      <c r="B14" s="277">
        <f>'12 - CDJ'!$E$40</f>
        <v>0</v>
      </c>
      <c r="C14" s="277">
        <f>'12 - CDJ'!$E$43</f>
        <v>0</v>
      </c>
      <c r="D14" s="277">
        <f>'12 - CDJ'!$E$44</f>
        <v>0</v>
      </c>
      <c r="E14" s="296">
        <f t="shared" si="1"/>
        <v>0</v>
      </c>
      <c r="F14" s="297" t="s">
        <v>83</v>
      </c>
      <c r="G14" s="115">
        <f>'12 - CDJ'!$D$47</f>
        <v>0</v>
      </c>
      <c r="H14" s="127">
        <f>'12 - CDJ'!$J$3</f>
        <v>0</v>
      </c>
      <c r="I14" s="127">
        <f>'12 - CDJ'!$I$3</f>
        <v>0</v>
      </c>
      <c r="J14" s="128">
        <f>'12 - CDJ'!$L$3</f>
        <v>0</v>
      </c>
      <c r="K14" s="123">
        <f t="shared" si="3"/>
        <v>0</v>
      </c>
      <c r="L14" s="148">
        <f t="shared" si="2"/>
        <v>0</v>
      </c>
      <c r="M14" s="120" t="s">
        <v>83</v>
      </c>
      <c r="N14" s="276">
        <f>'12 - CDJ'!$N$40</f>
        <v>0</v>
      </c>
      <c r="O14" s="277">
        <f>'12 - CDJ'!$O$40</f>
        <v>0</v>
      </c>
      <c r="P14" s="277">
        <f>'12 - CDJ'!P$40</f>
        <v>0</v>
      </c>
      <c r="Q14" s="277">
        <f>'12 - CDJ'!Q$40</f>
        <v>0</v>
      </c>
      <c r="R14" s="277">
        <f>'12 - CDJ'!R$40</f>
        <v>0</v>
      </c>
      <c r="S14" s="278">
        <f>'12 - CDJ'!S$40</f>
        <v>0</v>
      </c>
      <c r="T14" s="280">
        <f>'12 - CDJ'!T$40</f>
        <v>0</v>
      </c>
      <c r="U14" s="280">
        <f>'12 - CDJ'!U$40</f>
        <v>0</v>
      </c>
      <c r="V14" s="280">
        <f>'12 - CDJ'!V$40</f>
        <v>0</v>
      </c>
      <c r="W14" s="280">
        <f>'12 - CDJ'!W$40</f>
        <v>0</v>
      </c>
      <c r="X14" s="280">
        <f>'12 - CDJ'!X$40</f>
        <v>0</v>
      </c>
      <c r="Y14" s="280">
        <f>'12 - CDJ'!Y$40</f>
        <v>0</v>
      </c>
      <c r="Z14" s="280">
        <f>'12 - CDJ'!Z$40</f>
        <v>0</v>
      </c>
      <c r="AA14" s="280">
        <f>'12 - CDJ'!AA$40</f>
        <v>0</v>
      </c>
      <c r="AB14" s="280">
        <f>'12 - CDJ'!AB$40</f>
        <v>0</v>
      </c>
      <c r="AC14" s="280">
        <f>'12 - CDJ'!AC$40</f>
        <v>0</v>
      </c>
      <c r="AD14" s="280">
        <f>'12 - CDJ'!AD$40</f>
        <v>0</v>
      </c>
      <c r="AE14" s="280">
        <f>'12 - CDJ'!AE$40</f>
        <v>0</v>
      </c>
      <c r="AF14" s="280">
        <f>'12 - CDJ'!AF$40</f>
        <v>0</v>
      </c>
      <c r="AG14" s="280">
        <f>'12 - CDJ'!AG$40</f>
        <v>0</v>
      </c>
      <c r="AH14" s="280">
        <f>'12 - CDJ'!AH$40</f>
        <v>0</v>
      </c>
      <c r="AI14" s="280">
        <f>'12 - CDJ'!AI$40</f>
        <v>0</v>
      </c>
      <c r="AJ14" s="280">
        <f>'12 - CDJ'!AJ$40</f>
        <v>0</v>
      </c>
      <c r="AK14" s="280">
        <f>'12 - CDJ'!AK$40</f>
        <v>0</v>
      </c>
      <c r="AL14" s="280">
        <f>'12 - CDJ'!AL$40</f>
        <v>0</v>
      </c>
      <c r="AM14" s="280">
        <f>'12 - CDJ'!AM$40</f>
        <v>0</v>
      </c>
      <c r="AN14" s="280">
        <f>'12 - CDJ'!AN$40</f>
        <v>0</v>
      </c>
      <c r="AO14" s="280">
        <f>'12 - CDJ'!AO$40</f>
        <v>0</v>
      </c>
      <c r="AP14" s="280">
        <f>'12 - CDJ'!AP$40</f>
        <v>0</v>
      </c>
      <c r="AQ14" s="281">
        <f>'12 - CDJ'!AQ$40</f>
        <v>0</v>
      </c>
      <c r="AR14" s="280">
        <f>'12 - CDJ'!AR$40</f>
        <v>0</v>
      </c>
      <c r="AS14" s="280">
        <f>'12 - CDJ'!AS$40</f>
        <v>0</v>
      </c>
      <c r="AT14" s="280">
        <f>'12 - CDJ'!AT$40</f>
        <v>0</v>
      </c>
      <c r="AU14" s="280">
        <f>'12 - CDJ'!AY$40</f>
        <v>0</v>
      </c>
      <c r="AV14" s="280">
        <f>'12 - CDJ'!AZ$40</f>
        <v>0</v>
      </c>
      <c r="AW14" s="280">
        <f>'12 - CDJ'!BA$40</f>
        <v>0</v>
      </c>
      <c r="AX14" s="286">
        <f>'12 - CDJ'!BB$40</f>
        <v>0</v>
      </c>
      <c r="AY14" s="280">
        <f>'12 - CDJ'!BC$40</f>
        <v>0</v>
      </c>
      <c r="AZ14" s="281">
        <f>'12 - CDJ'!BD$40</f>
        <v>0</v>
      </c>
      <c r="BA14" s="87" t="s">
        <v>83</v>
      </c>
    </row>
    <row r="15" spans="1:53" ht="13.5" thickBot="1" x14ac:dyDescent="0.25">
      <c r="A15" s="105" t="s">
        <v>84</v>
      </c>
      <c r="B15" s="298">
        <f t="shared" ref="B15:E15" si="4">SUM(B3:B14)</f>
        <v>0</v>
      </c>
      <c r="C15" s="299">
        <f t="shared" si="4"/>
        <v>0</v>
      </c>
      <c r="D15" s="300">
        <f t="shared" si="4"/>
        <v>0</v>
      </c>
      <c r="E15" s="301">
        <f t="shared" si="4"/>
        <v>0</v>
      </c>
      <c r="F15" s="302" t="s">
        <v>84</v>
      </c>
      <c r="G15" s="129">
        <f>SUM(G3:G14)</f>
        <v>0</v>
      </c>
      <c r="H15" s="130">
        <f t="shared" ref="H15:J15" si="5">SUM(H3:H14)</f>
        <v>0</v>
      </c>
      <c r="I15" s="147">
        <f t="shared" si="5"/>
        <v>0</v>
      </c>
      <c r="J15" s="131">
        <f t="shared" si="5"/>
        <v>0</v>
      </c>
      <c r="K15" s="143"/>
      <c r="L15" s="144"/>
      <c r="M15" s="145"/>
      <c r="N15" s="288">
        <f t="shared" ref="N15:AM15" si="6">SUM(N3:N14)</f>
        <v>0</v>
      </c>
      <c r="O15" s="289">
        <f t="shared" si="6"/>
        <v>0</v>
      </c>
      <c r="P15" s="289">
        <f t="shared" si="6"/>
        <v>0</v>
      </c>
      <c r="Q15" s="289">
        <f t="shared" si="6"/>
        <v>0</v>
      </c>
      <c r="R15" s="289">
        <f t="shared" si="6"/>
        <v>0</v>
      </c>
      <c r="S15" s="289">
        <f t="shared" si="6"/>
        <v>0</v>
      </c>
      <c r="T15" s="290">
        <f t="shared" si="6"/>
        <v>0</v>
      </c>
      <c r="U15" s="290">
        <f t="shared" si="6"/>
        <v>0</v>
      </c>
      <c r="V15" s="290">
        <f t="shared" si="6"/>
        <v>0</v>
      </c>
      <c r="W15" s="290">
        <f t="shared" si="6"/>
        <v>0</v>
      </c>
      <c r="X15" s="290">
        <f t="shared" si="6"/>
        <v>0</v>
      </c>
      <c r="Y15" s="290">
        <f t="shared" si="6"/>
        <v>0</v>
      </c>
      <c r="Z15" s="290">
        <f t="shared" si="6"/>
        <v>0</v>
      </c>
      <c r="AA15" s="290">
        <f t="shared" si="6"/>
        <v>0</v>
      </c>
      <c r="AB15" s="290">
        <f t="shared" si="6"/>
        <v>0</v>
      </c>
      <c r="AC15" s="290">
        <f t="shared" si="6"/>
        <v>0</v>
      </c>
      <c r="AD15" s="290">
        <f t="shared" si="6"/>
        <v>0</v>
      </c>
      <c r="AE15" s="290">
        <f t="shared" si="6"/>
        <v>0</v>
      </c>
      <c r="AF15" s="290">
        <f t="shared" si="6"/>
        <v>0</v>
      </c>
      <c r="AG15" s="290">
        <f t="shared" si="6"/>
        <v>0</v>
      </c>
      <c r="AH15" s="290">
        <f t="shared" si="6"/>
        <v>0</v>
      </c>
      <c r="AI15" s="290">
        <f t="shared" si="6"/>
        <v>0</v>
      </c>
      <c r="AJ15" s="290">
        <f t="shared" si="6"/>
        <v>0</v>
      </c>
      <c r="AK15" s="290">
        <f t="shared" si="6"/>
        <v>0</v>
      </c>
      <c r="AL15" s="290">
        <f t="shared" si="6"/>
        <v>0</v>
      </c>
      <c r="AM15" s="290">
        <f t="shared" si="6"/>
        <v>0</v>
      </c>
      <c r="AN15" s="290">
        <f t="shared" ref="AN15:AY15" si="7">SUM(AN3:AN14)</f>
        <v>0</v>
      </c>
      <c r="AO15" s="290">
        <f t="shared" si="7"/>
        <v>0</v>
      </c>
      <c r="AP15" s="290">
        <f t="shared" si="7"/>
        <v>0</v>
      </c>
      <c r="AQ15" s="291">
        <f t="shared" si="7"/>
        <v>0</v>
      </c>
      <c r="AR15" s="290">
        <f t="shared" si="7"/>
        <v>0</v>
      </c>
      <c r="AS15" s="290">
        <f t="shared" si="7"/>
        <v>0</v>
      </c>
      <c r="AT15" s="290">
        <f t="shared" si="7"/>
        <v>105</v>
      </c>
      <c r="AU15" s="292">
        <f t="shared" si="7"/>
        <v>0</v>
      </c>
      <c r="AV15" s="292">
        <f t="shared" si="7"/>
        <v>0</v>
      </c>
      <c r="AW15" s="292">
        <f t="shared" si="7"/>
        <v>0</v>
      </c>
      <c r="AX15" s="292">
        <f t="shared" si="7"/>
        <v>0</v>
      </c>
      <c r="AY15" s="292">
        <f t="shared" si="7"/>
        <v>0</v>
      </c>
      <c r="AZ15" s="293">
        <f>SUM(AZ3:AZ14)</f>
        <v>0</v>
      </c>
      <c r="BA15" s="268"/>
    </row>
    <row r="16" spans="1:53" s="112" customFormat="1" ht="39" customHeight="1" thickBot="1" x14ac:dyDescent="0.25">
      <c r="A16" s="407"/>
      <c r="B16" s="407"/>
      <c r="C16" s="407"/>
      <c r="D16" s="407"/>
      <c r="E16" s="407"/>
      <c r="F16" s="407"/>
      <c r="G16" s="407"/>
      <c r="H16" s="407"/>
      <c r="I16" s="407"/>
      <c r="J16" s="407"/>
      <c r="K16" s="407"/>
      <c r="L16" s="148">
        <f>SUM(L3:L14)</f>
        <v>0</v>
      </c>
      <c r="M16" s="142"/>
      <c r="N16" s="475" t="str">
        <f>N1</f>
        <v>G/L P&amp;L Acct Name</v>
      </c>
      <c r="O16" s="475" t="str">
        <f t="shared" ref="O16:AZ16" si="8">O1</f>
        <v>G/L P&amp;L Acct Name</v>
      </c>
      <c r="P16" s="475" t="str">
        <f t="shared" si="8"/>
        <v>G/L P&amp;L Acct Name</v>
      </c>
      <c r="Q16" s="475" t="str">
        <f t="shared" si="8"/>
        <v>G/L P&amp;L Acct Name</v>
      </c>
      <c r="R16" s="475" t="str">
        <f t="shared" si="8"/>
        <v>G/L P&amp;L Acct Name</v>
      </c>
      <c r="S16" s="475" t="str">
        <f t="shared" si="8"/>
        <v>G/L P&amp;L Acct Name</v>
      </c>
      <c r="T16" s="475" t="str">
        <f t="shared" si="8"/>
        <v>G/L P&amp;L Acct Name</v>
      </c>
      <c r="U16" s="475" t="str">
        <f t="shared" si="8"/>
        <v>G/L P&amp;L Acct Name</v>
      </c>
      <c r="V16" s="475" t="str">
        <f t="shared" si="8"/>
        <v>G/L P&amp;L Acct Name</v>
      </c>
      <c r="W16" s="475" t="str">
        <f t="shared" si="8"/>
        <v>G/L P&amp;L Acct Name</v>
      </c>
      <c r="X16" s="475" t="str">
        <f t="shared" si="8"/>
        <v>G/L P&amp;L Acct Name</v>
      </c>
      <c r="Y16" s="475" t="str">
        <f t="shared" si="8"/>
        <v>G/L P&amp;L Acct Name</v>
      </c>
      <c r="Z16" s="475" t="str">
        <f t="shared" si="8"/>
        <v>G/L P&amp;L Acct Name</v>
      </c>
      <c r="AA16" s="475" t="str">
        <f t="shared" si="8"/>
        <v>G/L P&amp;L Acct Name</v>
      </c>
      <c r="AB16" s="475" t="str">
        <f t="shared" si="8"/>
        <v>G/L P&amp;L Acct Name</v>
      </c>
      <c r="AC16" s="475" t="str">
        <f t="shared" si="8"/>
        <v>G/L P&amp;L Acct Name</v>
      </c>
      <c r="AD16" s="475" t="str">
        <f t="shared" si="8"/>
        <v>G/L P&amp;L Acct Name</v>
      </c>
      <c r="AE16" s="475" t="str">
        <f t="shared" si="8"/>
        <v>G/L P&amp;L Acct Name</v>
      </c>
      <c r="AF16" s="475" t="str">
        <f t="shared" si="8"/>
        <v>G/L P&amp;L Acct Name</v>
      </c>
      <c r="AG16" s="475" t="str">
        <f t="shared" si="8"/>
        <v>G/L P&amp;L Acct Name</v>
      </c>
      <c r="AH16" s="475" t="str">
        <f t="shared" si="8"/>
        <v>G/L P&amp;L Acct Name</v>
      </c>
      <c r="AI16" s="475" t="str">
        <f t="shared" si="8"/>
        <v>G/L P&amp;L Acct Name</v>
      </c>
      <c r="AJ16" s="475" t="str">
        <f t="shared" si="8"/>
        <v>G/L P&amp;L Acct Name</v>
      </c>
      <c r="AK16" s="475" t="str">
        <f t="shared" si="8"/>
        <v>G/L P&amp;L Acct Name</v>
      </c>
      <c r="AL16" s="475" t="str">
        <f t="shared" si="8"/>
        <v>G/L P&amp;L Acct Name</v>
      </c>
      <c r="AM16" s="475" t="str">
        <f t="shared" si="8"/>
        <v>G/L P&amp;L Acct Name</v>
      </c>
      <c r="AN16" s="475" t="str">
        <f t="shared" si="8"/>
        <v>G/L P&amp;L Acct Name</v>
      </c>
      <c r="AO16" s="475" t="str">
        <f t="shared" si="8"/>
        <v>G/L P&amp;L Acct Name</v>
      </c>
      <c r="AP16" s="475" t="str">
        <f t="shared" si="8"/>
        <v>G/L P&amp;L Acct Name</v>
      </c>
      <c r="AQ16" s="475" t="str">
        <f t="shared" si="8"/>
        <v>G/L P&amp;L Acct Name</v>
      </c>
      <c r="AR16" s="475" t="str">
        <f t="shared" si="8"/>
        <v>G/L P&amp;L Acct Name</v>
      </c>
      <c r="AS16" s="475" t="str">
        <f t="shared" si="8"/>
        <v>G/L P&amp;L Acct Name</v>
      </c>
      <c r="AT16" s="475" t="str">
        <f t="shared" si="8"/>
        <v>G/L P&amp;L Acct Name</v>
      </c>
      <c r="AU16" s="476" t="str">
        <f t="shared" si="8"/>
        <v>G/L Balance Sheet Name</v>
      </c>
      <c r="AV16" s="476" t="str">
        <f t="shared" si="8"/>
        <v>G/L Balance Sheet Name</v>
      </c>
      <c r="AW16" s="476" t="str">
        <f t="shared" si="8"/>
        <v>G/L Balance Sheet Name</v>
      </c>
      <c r="AX16" s="476" t="str">
        <f t="shared" si="8"/>
        <v>G/L Balance Sheet Name</v>
      </c>
      <c r="AY16" s="476" t="str">
        <f t="shared" si="8"/>
        <v>G/L Balance Sheet Name</v>
      </c>
      <c r="AZ16" s="476" t="str">
        <f t="shared" si="8"/>
        <v>G/L Balance Sheet Name</v>
      </c>
      <c r="BA16" s="125"/>
    </row>
    <row r="17" spans="1:32" x14ac:dyDescent="0.2">
      <c r="C17" s="78"/>
      <c r="D17" s="77"/>
      <c r="E17" s="77"/>
      <c r="F17" s="78"/>
      <c r="G17" s="78"/>
      <c r="H17" s="78"/>
      <c r="I17" s="78"/>
      <c r="J17" s="78"/>
      <c r="K17" s="78"/>
      <c r="L17" s="79"/>
      <c r="M17" s="79"/>
      <c r="N17" s="78"/>
      <c r="O17" s="77"/>
      <c r="P17" s="77"/>
      <c r="Q17" s="78"/>
      <c r="R17" s="78"/>
      <c r="S17" s="78"/>
      <c r="T17" s="78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</row>
    <row r="18" spans="1:32" x14ac:dyDescent="0.2">
      <c r="C18" s="78"/>
      <c r="D18" s="77"/>
      <c r="E18" s="77"/>
      <c r="F18" s="78"/>
      <c r="G18" s="78"/>
      <c r="H18" s="78"/>
      <c r="I18" s="78"/>
      <c r="J18" s="78"/>
      <c r="K18" s="78"/>
      <c r="L18" s="79"/>
      <c r="M18" s="83"/>
      <c r="N18" s="78"/>
      <c r="O18" s="77"/>
      <c r="P18" s="77"/>
      <c r="Q18" s="78"/>
      <c r="R18" s="78"/>
      <c r="S18" s="78"/>
      <c r="T18" s="78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</row>
    <row r="19" spans="1:32" x14ac:dyDescent="0.2">
      <c r="C19" s="86"/>
      <c r="D19" s="86"/>
      <c r="E19" s="86"/>
      <c r="F19" s="86"/>
      <c r="G19" s="86"/>
      <c r="H19" s="86"/>
      <c r="I19" s="86"/>
      <c r="J19" s="86"/>
      <c r="K19" s="78"/>
      <c r="L19" s="79"/>
      <c r="N19" s="86"/>
      <c r="O19" s="86"/>
      <c r="P19" s="86"/>
      <c r="Q19" s="86"/>
      <c r="R19" s="86"/>
      <c r="S19" s="86"/>
      <c r="T19" s="86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</row>
    <row r="20" spans="1:32" x14ac:dyDescent="0.2">
      <c r="C20" s="107"/>
      <c r="D20" s="107"/>
      <c r="E20" s="107"/>
      <c r="F20" s="85"/>
      <c r="G20" s="85"/>
      <c r="H20" s="84"/>
      <c r="I20" s="84"/>
      <c r="J20" s="84"/>
      <c r="K20" s="85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</row>
    <row r="21" spans="1:32" x14ac:dyDescent="0.2">
      <c r="C21" s="107"/>
      <c r="D21" s="107"/>
      <c r="E21" s="107"/>
      <c r="F21" s="85"/>
      <c r="G21" s="85"/>
      <c r="H21" s="84"/>
      <c r="I21" s="84"/>
      <c r="J21" s="84"/>
      <c r="K21" s="85"/>
      <c r="L21" s="271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</row>
    <row r="22" spans="1:32" x14ac:dyDescent="0.2">
      <c r="C22" s="107"/>
      <c r="D22" s="107"/>
      <c r="E22" s="107"/>
      <c r="F22" s="85"/>
      <c r="G22" s="85"/>
      <c r="H22" s="84"/>
      <c r="I22" s="84"/>
      <c r="J22" s="84"/>
      <c r="K22" s="85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</row>
    <row r="23" spans="1:32" x14ac:dyDescent="0.2">
      <c r="C23" s="107"/>
      <c r="D23" s="107"/>
      <c r="E23" s="107"/>
      <c r="F23" s="85"/>
      <c r="G23" s="85"/>
      <c r="H23" s="84"/>
      <c r="I23" s="84"/>
      <c r="J23" s="84"/>
      <c r="K23" s="85"/>
      <c r="L23" s="271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</row>
    <row r="24" spans="1:32" x14ac:dyDescent="0.2">
      <c r="C24" s="107"/>
      <c r="D24" s="107"/>
      <c r="E24" s="107"/>
      <c r="F24" s="85"/>
      <c r="G24" s="85"/>
      <c r="H24" s="84"/>
      <c r="I24" s="84"/>
      <c r="J24" s="84"/>
      <c r="K24" s="85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</row>
    <row r="25" spans="1:32" x14ac:dyDescent="0.2">
      <c r="C25" s="107"/>
      <c r="D25" s="107"/>
      <c r="E25" s="107"/>
      <c r="F25" s="85"/>
      <c r="G25" s="85"/>
      <c r="H25" s="84"/>
      <c r="I25" s="84"/>
      <c r="J25" s="84"/>
      <c r="K25" s="85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</row>
    <row r="26" spans="1:32" x14ac:dyDescent="0.2">
      <c r="C26" s="107"/>
      <c r="D26" s="107"/>
      <c r="E26" s="107"/>
      <c r="F26" s="85"/>
      <c r="G26" s="85"/>
      <c r="H26" s="84"/>
      <c r="I26" s="84"/>
      <c r="J26" s="84"/>
      <c r="K26" s="85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</row>
    <row r="27" spans="1:32" x14ac:dyDescent="0.2">
      <c r="C27" s="107"/>
      <c r="D27" s="107"/>
      <c r="E27" s="107"/>
      <c r="F27" s="85"/>
      <c r="G27" s="85"/>
      <c r="H27" s="84"/>
      <c r="I27" s="84"/>
      <c r="J27" s="84"/>
      <c r="K27" s="85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</row>
    <row r="28" spans="1:32" x14ac:dyDescent="0.2">
      <c r="A28" s="117"/>
    </row>
    <row r="29" spans="1:32" x14ac:dyDescent="0.2">
      <c r="A29" s="117"/>
    </row>
    <row r="39" spans="1:2" x14ac:dyDescent="0.2">
      <c r="A39" s="106"/>
      <c r="B39" s="96"/>
    </row>
    <row r="40" spans="1:2" x14ac:dyDescent="0.2">
      <c r="A40" s="104"/>
      <c r="B40" s="80"/>
    </row>
    <row r="41" spans="1:2" x14ac:dyDescent="0.2">
      <c r="A41" s="104"/>
      <c r="B41" s="80"/>
    </row>
    <row r="42" spans="1:2" x14ac:dyDescent="0.2">
      <c r="A42" s="104"/>
      <c r="B42" s="80"/>
    </row>
    <row r="43" spans="1:2" x14ac:dyDescent="0.2">
      <c r="A43" s="104"/>
      <c r="B43" s="80"/>
    </row>
    <row r="44" spans="1:2" x14ac:dyDescent="0.2">
      <c r="A44" s="104"/>
      <c r="B44" s="80"/>
    </row>
    <row r="45" spans="1:2" x14ac:dyDescent="0.2">
      <c r="A45" s="104"/>
      <c r="B45" s="80"/>
    </row>
    <row r="46" spans="1:2" x14ac:dyDescent="0.2">
      <c r="A46" s="104"/>
      <c r="B46" s="80"/>
    </row>
    <row r="47" spans="1:2" x14ac:dyDescent="0.2">
      <c r="A47" s="104"/>
      <c r="B47" s="80"/>
    </row>
    <row r="48" spans="1:2" x14ac:dyDescent="0.2">
      <c r="A48" s="104"/>
      <c r="B48" s="80"/>
    </row>
    <row r="49" spans="1:2" x14ac:dyDescent="0.2">
      <c r="A49" s="104"/>
      <c r="B49" s="80"/>
    </row>
    <row r="50" spans="1:2" x14ac:dyDescent="0.2">
      <c r="A50" s="104"/>
      <c r="B50" s="80"/>
    </row>
  </sheetData>
  <mergeCells count="1">
    <mergeCell ref="A16:K16"/>
  </mergeCells>
  <pageMargins left="0.7" right="0.7" top="0.75" bottom="0.75" header="0.3" footer="0.3"/>
  <pageSetup orientation="landscape" r:id="rId1"/>
  <headerFooter>
    <oddHeader>&amp;L&amp;F&amp;C&amp;Z&amp;F&amp;R&amp;D</oddHeader>
    <oddFooter>&amp;L&amp;8Page &amp;P of &amp;N&amp;R&amp;10&amp;Z&amp;F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F63"/>
  <sheetViews>
    <sheetView tabSelected="1" zoomScale="120" zoomScaleNormal="120" workbookViewId="0">
      <pane xSplit="7" ySplit="3" topLeftCell="AS4" activePane="bottomRight" state="frozen"/>
      <selection activeCell="F54" sqref="F54"/>
      <selection pane="topRight" activeCell="F54" sqref="F54"/>
      <selection pane="bottomLeft" activeCell="F54" sqref="F54"/>
      <selection pane="bottomRight" activeCell="AY1" sqref="AY1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2" width="7.44140625" style="50" bestFit="1" customWidth="1"/>
    <col min="53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thickBot="1" x14ac:dyDescent="0.25">
      <c r="A3" s="167"/>
      <c r="B3" s="168">
        <v>44927</v>
      </c>
      <c r="C3" s="463" t="s">
        <v>93</v>
      </c>
      <c r="D3" s="467"/>
      <c r="E3" s="467"/>
      <c r="F3" s="431"/>
      <c r="G3" s="306"/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AE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ref="AF3:AM3" si="2">AF40</f>
        <v>0</v>
      </c>
      <c r="AG3" s="315">
        <f t="shared" si="2"/>
        <v>0</v>
      </c>
      <c r="AH3" s="315">
        <f t="shared" si="2"/>
        <v>0</v>
      </c>
      <c r="AI3" s="315">
        <f t="shared" si="2"/>
        <v>0</v>
      </c>
      <c r="AJ3" s="315">
        <f t="shared" si="2"/>
        <v>0</v>
      </c>
      <c r="AK3" s="315">
        <f t="shared" si="2"/>
        <v>0</v>
      </c>
      <c r="AL3" s="315">
        <f t="shared" si="2"/>
        <v>0</v>
      </c>
      <c r="AM3" s="315">
        <f t="shared" si="2"/>
        <v>0</v>
      </c>
      <c r="AN3" s="315">
        <f t="shared" ref="AN3:BD3" si="3">AN40</f>
        <v>0</v>
      </c>
      <c r="AO3" s="315">
        <f t="shared" si="3"/>
        <v>0</v>
      </c>
      <c r="AP3" s="315">
        <f t="shared" si="3"/>
        <v>0</v>
      </c>
      <c r="AQ3" s="315">
        <f t="shared" si="3"/>
        <v>0</v>
      </c>
      <c r="AR3" s="315">
        <f t="shared" si="3"/>
        <v>0</v>
      </c>
      <c r="AS3" s="315">
        <f t="shared" si="3"/>
        <v>0</v>
      </c>
      <c r="AT3" s="316">
        <f t="shared" si="3"/>
        <v>0</v>
      </c>
      <c r="AU3" s="317">
        <f t="shared" si="3"/>
        <v>0</v>
      </c>
      <c r="AV3" s="315">
        <f t="shared" si="3"/>
        <v>0</v>
      </c>
      <c r="AW3" s="315">
        <f t="shared" si="3"/>
        <v>0</v>
      </c>
      <c r="AX3" s="315">
        <f t="shared" ref="AX3" si="4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3"/>
        <v>0</v>
      </c>
      <c r="BD3" s="320">
        <f t="shared" si="3"/>
        <v>0</v>
      </c>
      <c r="BE3" s="321">
        <f t="shared" ref="BE3:BF3" si="5">BE40</f>
        <v>0</v>
      </c>
      <c r="BF3" s="319">
        <f t="shared" si="5"/>
        <v>0</v>
      </c>
    </row>
    <row r="4" spans="1:58" s="45" customFormat="1" ht="9.9499999999999993" customHeight="1" x14ac:dyDescent="0.2">
      <c r="A4" s="169">
        <v>1</v>
      </c>
      <c r="B4" s="459"/>
      <c r="C4" s="464"/>
      <c r="D4" s="468"/>
      <c r="E4" s="470"/>
      <c r="F4" s="460">
        <f t="shared" ref="F4:F40" si="6">-1*(E4-(SUM(O4:BD4)))</f>
        <v>0</v>
      </c>
      <c r="G4" s="309">
        <f t="shared" ref="G4:G39" si="7"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459"/>
      <c r="C5" s="456"/>
      <c r="D5" s="457"/>
      <c r="E5" s="458"/>
      <c r="F5" s="460">
        <f t="shared" si="6"/>
        <v>0</v>
      </c>
      <c r="G5" s="309">
        <f t="shared" si="7"/>
        <v>0</v>
      </c>
      <c r="H5" s="345"/>
      <c r="I5" s="346"/>
      <c r="J5" s="346"/>
      <c r="K5" s="347"/>
      <c r="L5" s="348"/>
      <c r="M5" s="349"/>
      <c r="N5" s="76"/>
      <c r="O5" s="76"/>
      <c r="P5" s="89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459"/>
      <c r="C6" s="456"/>
      <c r="D6" s="457"/>
      <c r="E6" s="458"/>
      <c r="F6" s="460">
        <f t="shared" si="6"/>
        <v>0</v>
      </c>
      <c r="G6" s="309">
        <f t="shared" si="7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89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459"/>
      <c r="C7" s="456"/>
      <c r="D7" s="457"/>
      <c r="E7" s="458"/>
      <c r="F7" s="460">
        <f t="shared" si="6"/>
        <v>0</v>
      </c>
      <c r="G7" s="309">
        <f t="shared" si="7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459"/>
      <c r="C8" s="456"/>
      <c r="D8" s="457"/>
      <c r="E8" s="458"/>
      <c r="F8" s="460">
        <f t="shared" si="6"/>
        <v>0</v>
      </c>
      <c r="G8" s="309">
        <f t="shared" si="7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459"/>
      <c r="C9" s="456"/>
      <c r="D9" s="457"/>
      <c r="E9" s="458"/>
      <c r="F9" s="460">
        <f t="shared" si="6"/>
        <v>0</v>
      </c>
      <c r="G9" s="309">
        <f t="shared" si="7"/>
        <v>0</v>
      </c>
      <c r="H9" s="345"/>
      <c r="I9" s="346"/>
      <c r="J9" s="346"/>
      <c r="K9" s="34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459"/>
      <c r="C10" s="456"/>
      <c r="D10" s="457"/>
      <c r="E10" s="458"/>
      <c r="F10" s="460">
        <f t="shared" si="6"/>
        <v>0</v>
      </c>
      <c r="G10" s="309">
        <f t="shared" si="7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459"/>
      <c r="C11" s="456"/>
      <c r="D11" s="457"/>
      <c r="E11" s="458"/>
      <c r="F11" s="460">
        <f t="shared" si="6"/>
        <v>0</v>
      </c>
      <c r="G11" s="309">
        <f t="shared" si="7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459"/>
      <c r="C12" s="456"/>
      <c r="D12" s="457"/>
      <c r="E12" s="458"/>
      <c r="F12" s="460">
        <f t="shared" si="6"/>
        <v>0</v>
      </c>
      <c r="G12" s="309">
        <f t="shared" si="7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459"/>
      <c r="C13" s="456"/>
      <c r="D13" s="457"/>
      <c r="E13" s="458"/>
      <c r="F13" s="460">
        <f t="shared" si="6"/>
        <v>0</v>
      </c>
      <c r="G13" s="309">
        <f t="shared" si="7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459"/>
      <c r="C14" s="456"/>
      <c r="D14" s="457"/>
      <c r="E14" s="458"/>
      <c r="F14" s="460">
        <f t="shared" si="6"/>
        <v>0</v>
      </c>
      <c r="G14" s="309">
        <f t="shared" si="7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461"/>
      <c r="C15" s="456"/>
      <c r="D15" s="457"/>
      <c r="E15" s="458"/>
      <c r="F15" s="460">
        <f t="shared" si="6"/>
        <v>0</v>
      </c>
      <c r="G15" s="309">
        <f t="shared" si="7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461"/>
      <c r="C16" s="456"/>
      <c r="D16" s="457"/>
      <c r="E16" s="458"/>
      <c r="F16" s="460">
        <f t="shared" si="6"/>
        <v>0</v>
      </c>
      <c r="G16" s="309">
        <f t="shared" si="7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461"/>
      <c r="C17" s="456"/>
      <c r="D17" s="457"/>
      <c r="E17" s="458"/>
      <c r="F17" s="460">
        <f t="shared" si="6"/>
        <v>0</v>
      </c>
      <c r="G17" s="309">
        <f t="shared" si="7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459"/>
      <c r="C18" s="456"/>
      <c r="D18" s="457"/>
      <c r="E18" s="458"/>
      <c r="F18" s="460">
        <f t="shared" si="6"/>
        <v>0</v>
      </c>
      <c r="G18" s="309">
        <f t="shared" si="7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459"/>
      <c r="C19" s="456"/>
      <c r="D19" s="457"/>
      <c r="E19" s="458"/>
      <c r="F19" s="460">
        <f t="shared" si="6"/>
        <v>0</v>
      </c>
      <c r="G19" s="309">
        <f t="shared" si="7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459"/>
      <c r="C20" s="456"/>
      <c r="D20" s="457"/>
      <c r="E20" s="458"/>
      <c r="F20" s="460">
        <f t="shared" si="6"/>
        <v>0</v>
      </c>
      <c r="G20" s="309">
        <f t="shared" si="7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459"/>
      <c r="C21" s="465"/>
      <c r="D21" s="465"/>
      <c r="E21" s="465"/>
      <c r="F21" s="460">
        <f t="shared" si="6"/>
        <v>0</v>
      </c>
      <c r="G21" s="309">
        <f t="shared" si="7"/>
        <v>0</v>
      </c>
      <c r="H21" s="345"/>
      <c r="I21" s="346"/>
      <c r="J21" s="352"/>
      <c r="K21" s="353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459"/>
      <c r="C22" s="456"/>
      <c r="D22" s="457"/>
      <c r="E22" s="458"/>
      <c r="F22" s="460">
        <f t="shared" si="6"/>
        <v>0</v>
      </c>
      <c r="G22" s="309">
        <f t="shared" si="7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459"/>
      <c r="C23" s="456"/>
      <c r="D23" s="457"/>
      <c r="E23" s="458"/>
      <c r="F23" s="460">
        <f t="shared" si="6"/>
        <v>0</v>
      </c>
      <c r="G23" s="309">
        <f t="shared" si="7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459"/>
      <c r="C24" s="456"/>
      <c r="D24" s="457"/>
      <c r="E24" s="458"/>
      <c r="F24" s="460">
        <f t="shared" si="6"/>
        <v>0</v>
      </c>
      <c r="G24" s="309">
        <f t="shared" si="7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459"/>
      <c r="C25" s="456"/>
      <c r="D25" s="457"/>
      <c r="E25" s="458"/>
      <c r="F25" s="460">
        <f t="shared" si="6"/>
        <v>0</v>
      </c>
      <c r="G25" s="309">
        <f t="shared" si="7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459"/>
      <c r="C26" s="456"/>
      <c r="D26" s="457"/>
      <c r="E26" s="458"/>
      <c r="F26" s="460">
        <f t="shared" si="6"/>
        <v>0</v>
      </c>
      <c r="G26" s="309">
        <f t="shared" si="7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459"/>
      <c r="C27" s="456"/>
      <c r="D27" s="457"/>
      <c r="E27" s="458"/>
      <c r="F27" s="460">
        <f t="shared" si="6"/>
        <v>0</v>
      </c>
      <c r="G27" s="309">
        <f t="shared" si="7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459"/>
      <c r="C28" s="456"/>
      <c r="D28" s="457"/>
      <c r="E28" s="458"/>
      <c r="F28" s="460">
        <f t="shared" si="6"/>
        <v>0</v>
      </c>
      <c r="G28" s="309">
        <f t="shared" si="7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459"/>
      <c r="C29" s="456"/>
      <c r="D29" s="457"/>
      <c r="E29" s="458"/>
      <c r="F29" s="460">
        <f t="shared" si="6"/>
        <v>0</v>
      </c>
      <c r="G29" s="309">
        <f t="shared" si="7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459"/>
      <c r="C30" s="456"/>
      <c r="D30" s="457"/>
      <c r="E30" s="458"/>
      <c r="F30" s="460">
        <f t="shared" si="6"/>
        <v>0</v>
      </c>
      <c r="G30" s="309">
        <f t="shared" si="7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459"/>
      <c r="C31" s="456"/>
      <c r="D31" s="457"/>
      <c r="E31" s="458"/>
      <c r="F31" s="460">
        <f t="shared" si="6"/>
        <v>0</v>
      </c>
      <c r="G31" s="309">
        <f t="shared" si="7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459"/>
      <c r="C32" s="456"/>
      <c r="D32" s="457"/>
      <c r="E32" s="458"/>
      <c r="F32" s="460">
        <f t="shared" si="6"/>
        <v>0</v>
      </c>
      <c r="G32" s="309">
        <f t="shared" si="7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459"/>
      <c r="C33" s="456"/>
      <c r="D33" s="457"/>
      <c r="E33" s="458"/>
      <c r="F33" s="460">
        <f t="shared" si="6"/>
        <v>0</v>
      </c>
      <c r="G33" s="309">
        <f t="shared" si="7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459"/>
      <c r="C34" s="456"/>
      <c r="D34" s="457"/>
      <c r="E34" s="458"/>
      <c r="F34" s="460">
        <f t="shared" si="6"/>
        <v>0</v>
      </c>
      <c r="G34" s="309">
        <f t="shared" si="7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459"/>
      <c r="C35" s="456"/>
      <c r="D35" s="457"/>
      <c r="E35" s="458"/>
      <c r="F35" s="460">
        <f t="shared" si="6"/>
        <v>0</v>
      </c>
      <c r="G35" s="309">
        <f t="shared" si="7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459"/>
      <c r="C36" s="456"/>
      <c r="D36" s="457"/>
      <c r="E36" s="458"/>
      <c r="F36" s="460">
        <f t="shared" si="6"/>
        <v>0</v>
      </c>
      <c r="G36" s="309">
        <f t="shared" si="7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459"/>
      <c r="C37" s="456"/>
      <c r="D37" s="457"/>
      <c r="E37" s="458"/>
      <c r="F37" s="460">
        <f t="shared" si="6"/>
        <v>0</v>
      </c>
      <c r="G37" s="309">
        <f t="shared" si="7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459"/>
      <c r="C38" s="456"/>
      <c r="D38" s="457"/>
      <c r="E38" s="458"/>
      <c r="F38" s="460">
        <f t="shared" si="6"/>
        <v>0</v>
      </c>
      <c r="G38" s="309">
        <f t="shared" si="7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462"/>
      <c r="C39" s="466"/>
      <c r="D39" s="469"/>
      <c r="E39" s="471"/>
      <c r="F39" s="460">
        <f t="shared" si="6"/>
        <v>0</v>
      </c>
      <c r="G39" s="309">
        <f t="shared" si="7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6"/>
        <v>0</v>
      </c>
      <c r="G40" s="175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8">SUM(L4:L39)</f>
        <v>0</v>
      </c>
      <c r="M40" s="331"/>
      <c r="N40" s="328">
        <f t="shared" si="8"/>
        <v>0</v>
      </c>
      <c r="O40" s="332">
        <f t="shared" si="8"/>
        <v>0</v>
      </c>
      <c r="P40" s="332">
        <f t="shared" si="8"/>
        <v>0</v>
      </c>
      <c r="Q40" s="332">
        <f t="shared" si="8"/>
        <v>0</v>
      </c>
      <c r="R40" s="332">
        <f t="shared" si="8"/>
        <v>0</v>
      </c>
      <c r="S40" s="332">
        <f t="shared" si="8"/>
        <v>0</v>
      </c>
      <c r="T40" s="332">
        <f>SUM(T4:T39)</f>
        <v>0</v>
      </c>
      <c r="U40" s="332">
        <f>SUM(U4:U39)</f>
        <v>0</v>
      </c>
      <c r="V40" s="332">
        <f t="shared" ref="V40:AG40" si="9">SUM(V4:V39)</f>
        <v>0</v>
      </c>
      <c r="W40" s="332">
        <f t="shared" si="9"/>
        <v>0</v>
      </c>
      <c r="X40" s="332">
        <f t="shared" si="9"/>
        <v>0</v>
      </c>
      <c r="Y40" s="332">
        <f t="shared" si="9"/>
        <v>0</v>
      </c>
      <c r="Z40" s="332">
        <f t="shared" si="9"/>
        <v>0</v>
      </c>
      <c r="AA40" s="332">
        <f t="shared" si="9"/>
        <v>0</v>
      </c>
      <c r="AB40" s="332">
        <f t="shared" si="9"/>
        <v>0</v>
      </c>
      <c r="AC40" s="332">
        <f t="shared" si="9"/>
        <v>0</v>
      </c>
      <c r="AD40" s="332">
        <f>SUM(AD4:AD39)</f>
        <v>0</v>
      </c>
      <c r="AE40" s="332">
        <f t="shared" si="9"/>
        <v>0</v>
      </c>
      <c r="AF40" s="332">
        <f t="shared" si="9"/>
        <v>0</v>
      </c>
      <c r="AG40" s="332">
        <f t="shared" si="9"/>
        <v>0</v>
      </c>
      <c r="AH40" s="332">
        <f t="shared" ref="AH40:AM40" si="10">SUM(AH4:AH39)</f>
        <v>0</v>
      </c>
      <c r="AI40" s="332">
        <f t="shared" si="10"/>
        <v>0</v>
      </c>
      <c r="AJ40" s="332">
        <f t="shared" si="10"/>
        <v>0</v>
      </c>
      <c r="AK40" s="332">
        <f t="shared" si="10"/>
        <v>0</v>
      </c>
      <c r="AL40" s="332">
        <f t="shared" si="10"/>
        <v>0</v>
      </c>
      <c r="AM40" s="332">
        <f t="shared" si="10"/>
        <v>0</v>
      </c>
      <c r="AN40" s="332">
        <f t="shared" ref="AN40:BD40" si="11">SUM(AN4:AN39)</f>
        <v>0</v>
      </c>
      <c r="AO40" s="332">
        <f t="shared" si="11"/>
        <v>0</v>
      </c>
      <c r="AP40" s="332">
        <f t="shared" si="11"/>
        <v>0</v>
      </c>
      <c r="AQ40" s="332">
        <f t="shared" si="11"/>
        <v>0</v>
      </c>
      <c r="AR40" s="332">
        <f t="shared" si="11"/>
        <v>0</v>
      </c>
      <c r="AS40" s="332">
        <f t="shared" ref="AS40:AT40" si="12">SUM(AS4:AS39)</f>
        <v>0</v>
      </c>
      <c r="AT40" s="333">
        <f t="shared" si="12"/>
        <v>0</v>
      </c>
      <c r="AU40" s="333">
        <f t="shared" ref="AU40:AV40" si="13">SUM(AU4:AU39)</f>
        <v>0</v>
      </c>
      <c r="AV40" s="333">
        <f t="shared" si="13"/>
        <v>0</v>
      </c>
      <c r="AW40" s="333">
        <f t="shared" ref="AW40:AX40" si="14">SUM(AW4:AW39)</f>
        <v>0</v>
      </c>
      <c r="AX40" s="333">
        <f t="shared" si="14"/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11"/>
        <v>0</v>
      </c>
      <c r="BD40" s="335">
        <f t="shared" si="11"/>
        <v>0</v>
      </c>
      <c r="BE40" s="336">
        <f t="shared" ref="BE40:BF40" si="15">SUM(BE4:BE39)</f>
        <v>0</v>
      </c>
      <c r="BF40" s="334">
        <f t="shared" si="15"/>
        <v>0</v>
      </c>
    </row>
    <row r="41" spans="1:58" ht="27" customHeight="1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6">L1</f>
        <v>Balance Sheet Deposit</v>
      </c>
      <c r="M41" s="187" t="str">
        <f t="shared" si="16"/>
        <v>Balance Sheet Deposit Explanation</v>
      </c>
      <c r="N41" s="188" t="str">
        <f t="shared" ref="N41:BD41" si="17">N1</f>
        <v>G/L P&amp;L Acct Name</v>
      </c>
      <c r="O41" s="189" t="str">
        <f t="shared" si="17"/>
        <v>G/L P&amp;L Acct Name</v>
      </c>
      <c r="P41" s="189" t="str">
        <f t="shared" si="17"/>
        <v>G/L P&amp;L Acct Name</v>
      </c>
      <c r="Q41" s="189" t="str">
        <f t="shared" si="17"/>
        <v>G/L P&amp;L Acct Name</v>
      </c>
      <c r="R41" s="189" t="str">
        <f t="shared" si="17"/>
        <v>G/L P&amp;L Acct Name</v>
      </c>
      <c r="S41" s="189" t="str">
        <f t="shared" si="17"/>
        <v>G/L P&amp;L Acct Name</v>
      </c>
      <c r="T41" s="189" t="str">
        <f t="shared" si="17"/>
        <v>G/L P&amp;L Acct Name</v>
      </c>
      <c r="U41" s="189" t="str">
        <f>U1</f>
        <v>G/L P&amp;L Acct Name</v>
      </c>
      <c r="V41" s="189" t="str">
        <f t="shared" si="17"/>
        <v>G/L P&amp;L Acct Name</v>
      </c>
      <c r="W41" s="189" t="str">
        <f t="shared" si="17"/>
        <v>G/L P&amp;L Acct Name</v>
      </c>
      <c r="X41" s="189" t="str">
        <f t="shared" si="17"/>
        <v>G/L P&amp;L Acct Name</v>
      </c>
      <c r="Y41" s="189" t="str">
        <f t="shared" si="17"/>
        <v>G/L P&amp;L Acct Name</v>
      </c>
      <c r="Z41" s="189" t="str">
        <f t="shared" si="17"/>
        <v>G/L P&amp;L Acct Name</v>
      </c>
      <c r="AA41" s="189" t="str">
        <f t="shared" si="17"/>
        <v>G/L P&amp;L Acct Name</v>
      </c>
      <c r="AB41" s="189" t="str">
        <f t="shared" si="17"/>
        <v>G/L P&amp;L Acct Name</v>
      </c>
      <c r="AC41" s="189" t="str">
        <f t="shared" si="17"/>
        <v>G/L P&amp;L Acct Name</v>
      </c>
      <c r="AD41" s="189" t="str">
        <f t="shared" si="17"/>
        <v>G/L P&amp;L Acct Name</v>
      </c>
      <c r="AE41" s="189" t="str">
        <f t="shared" si="17"/>
        <v>G/L P&amp;L Acct Name</v>
      </c>
      <c r="AF41" s="189" t="str">
        <f t="shared" si="17"/>
        <v>G/L P&amp;L Acct Name</v>
      </c>
      <c r="AG41" s="189" t="str">
        <f t="shared" si="17"/>
        <v>G/L P&amp;L Acct Name</v>
      </c>
      <c r="AH41" s="189" t="str">
        <f t="shared" si="17"/>
        <v>G/L P&amp;L Acct Name</v>
      </c>
      <c r="AI41" s="190" t="str">
        <f t="shared" si="17"/>
        <v>G/L P&amp;L Acct Name</v>
      </c>
      <c r="AJ41" s="190" t="str">
        <f t="shared" si="17"/>
        <v>G/L P&amp;L Acct Name</v>
      </c>
      <c r="AK41" s="190" t="str">
        <f t="shared" si="17"/>
        <v>G/L P&amp;L Acct Name</v>
      </c>
      <c r="AL41" s="190" t="str">
        <f t="shared" si="17"/>
        <v>G/L P&amp;L Acct Name</v>
      </c>
      <c r="AM41" s="190" t="str">
        <f t="shared" si="17"/>
        <v>G/L P&amp;L Acct Name</v>
      </c>
      <c r="AN41" s="190" t="str">
        <f t="shared" si="17"/>
        <v>G/L P&amp;L Acct Name</v>
      </c>
      <c r="AO41" s="190" t="str">
        <f t="shared" si="17"/>
        <v>G/L P&amp;L Acct Name</v>
      </c>
      <c r="AP41" s="190" t="str">
        <f t="shared" si="17"/>
        <v>G/L P&amp;L Acct Name</v>
      </c>
      <c r="AQ41" s="190" t="str">
        <f t="shared" si="17"/>
        <v>G/L P&amp;L Acct Name</v>
      </c>
      <c r="AR41" s="190" t="str">
        <f t="shared" si="17"/>
        <v>G/L P&amp;L Acct Name</v>
      </c>
      <c r="AS41" s="190" t="str">
        <f t="shared" ref="AS41:AT41" si="18">AS1</f>
        <v>G/L P&amp;L Acct Name</v>
      </c>
      <c r="AT41" s="191" t="str">
        <f t="shared" si="18"/>
        <v>G/L P&amp;L Acct Name</v>
      </c>
      <c r="AU41" s="191" t="str">
        <f t="shared" ref="AU41:AV41" si="19">AU1</f>
        <v>G/L P&amp;L Acct Name</v>
      </c>
      <c r="AV41" s="191" t="str">
        <f t="shared" si="19"/>
        <v>G/L P&amp;L Acct Name</v>
      </c>
      <c r="AW41" s="191" t="str">
        <f t="shared" ref="AW41:AX41" si="20">AW1</f>
        <v>G/L P&amp;L Acct Name</v>
      </c>
      <c r="AX41" s="191" t="str">
        <f t="shared" si="20"/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7"/>
        <v>G/L Balance Sheet Name</v>
      </c>
      <c r="BD41" s="194" t="str">
        <f t="shared" si="17"/>
        <v>G/L Balance Sheet Name</v>
      </c>
      <c r="BE41" s="262" t="str">
        <f t="shared" ref="BE41:BF41" si="21">BE1</f>
        <v>G/L Balance Sheet Name</v>
      </c>
      <c r="BF41" s="267" t="str">
        <f t="shared" si="21"/>
        <v>G/L Balance Sheet Name</v>
      </c>
    </row>
    <row r="42" spans="1:58" ht="11.1" customHeight="1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1" customHeight="1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1" customHeight="1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1.1" customHeight="1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x14ac:dyDescent="0.2">
      <c r="A47" s="214"/>
      <c r="B47" s="417" t="s">
        <v>89</v>
      </c>
      <c r="C47" s="417"/>
      <c r="D47" s="249"/>
      <c r="E47" s="253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x14ac:dyDescent="0.2">
      <c r="A48" s="214"/>
      <c r="B48" s="417" t="s">
        <v>18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15.75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L1:L2"/>
    <mergeCell ref="M1:M2"/>
    <mergeCell ref="C3:F3"/>
    <mergeCell ref="K1:K2"/>
    <mergeCell ref="D1:D2"/>
    <mergeCell ref="E1:E2"/>
    <mergeCell ref="F1:F2"/>
    <mergeCell ref="G1:G2"/>
    <mergeCell ref="H1:H2"/>
    <mergeCell ref="J1:J2"/>
    <mergeCell ref="I1:I2"/>
    <mergeCell ref="A49:B49"/>
    <mergeCell ref="C49:E49"/>
    <mergeCell ref="C42:D42"/>
    <mergeCell ref="C40:D40"/>
    <mergeCell ref="C41:D41"/>
    <mergeCell ref="A46:E46"/>
    <mergeCell ref="B48:C48"/>
    <mergeCell ref="B47:C47"/>
    <mergeCell ref="C43:D43"/>
    <mergeCell ref="C44:D44"/>
    <mergeCell ref="C45:D45"/>
  </mergeCells>
  <conditionalFormatting sqref="N3:BF3 N40:BF40">
    <cfRule type="cellIs" dxfId="59" priority="6" operator="lessThan">
      <formula>0</formula>
    </cfRule>
  </conditionalFormatting>
  <conditionalFormatting sqref="D48 E40:E45 F40 I40:J40">
    <cfRule type="cellIs" dxfId="58" priority="5" operator="lessThan">
      <formula>0</formula>
    </cfRule>
  </conditionalFormatting>
  <conditionalFormatting sqref="L3">
    <cfRule type="cellIs" dxfId="57" priority="3" operator="lessThan">
      <formula>0</formula>
    </cfRule>
  </conditionalFormatting>
  <conditionalFormatting sqref="L40">
    <cfRule type="cellIs" dxfId="56" priority="2" operator="lessThan">
      <formula>0</formula>
    </cfRule>
  </conditionalFormatting>
  <conditionalFormatting sqref="I3:J3">
    <cfRule type="cellIs" dxfId="55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&amp;C&amp;A &amp;R&amp;D</oddHeader>
    <oddFooter>&amp;L&amp;8Page &amp;P of &amp;N&amp;R&amp;8&amp;Z&amp;F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D67A-4173-464D-BA0D-C2402C43FB78}">
  <sheetPr codeName="Sheet17">
    <tabColor rgb="FF00B0F0"/>
  </sheetPr>
  <dimension ref="A1:BF63"/>
  <sheetViews>
    <sheetView zoomScale="120" zoomScaleNormal="120" workbookViewId="0">
      <pane xSplit="7" ySplit="3" topLeftCell="H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39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7.44140625" style="40" bestFit="1" customWidth="1"/>
    <col min="52" max="56" width="6.77734375" style="50" customWidth="1"/>
    <col min="57" max="16384" width="8.88671875" style="50"/>
  </cols>
  <sheetData>
    <row r="1" spans="1:58" s="51" customFormat="1" ht="24.95" customHeight="1" thickBot="1" x14ac:dyDescent="0.25">
      <c r="A1" s="243" t="s">
        <v>19</v>
      </c>
      <c r="B1" s="244" t="s">
        <v>0</v>
      </c>
      <c r="C1" s="244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245" t="s">
        <v>139</v>
      </c>
      <c r="O1" s="245" t="s">
        <v>139</v>
      </c>
      <c r="P1" s="245" t="s">
        <v>139</v>
      </c>
      <c r="Q1" s="245" t="s">
        <v>139</v>
      </c>
      <c r="R1" s="245" t="s">
        <v>139</v>
      </c>
      <c r="S1" s="245" t="s">
        <v>139</v>
      </c>
      <c r="T1" s="245" t="s">
        <v>139</v>
      </c>
      <c r="U1" s="245" t="s">
        <v>139</v>
      </c>
      <c r="V1" s="245" t="s">
        <v>139</v>
      </c>
      <c r="W1" s="245" t="s">
        <v>139</v>
      </c>
      <c r="X1" s="245" t="s">
        <v>139</v>
      </c>
      <c r="Y1" s="245" t="s">
        <v>139</v>
      </c>
      <c r="Z1" s="245" t="s">
        <v>139</v>
      </c>
      <c r="AA1" s="245" t="s">
        <v>139</v>
      </c>
      <c r="AB1" s="245" t="s">
        <v>139</v>
      </c>
      <c r="AC1" s="245" t="s">
        <v>139</v>
      </c>
      <c r="AD1" s="245" t="s">
        <v>139</v>
      </c>
      <c r="AE1" s="245" t="s">
        <v>139</v>
      </c>
      <c r="AF1" s="245" t="s">
        <v>139</v>
      </c>
      <c r="AG1" s="245" t="s">
        <v>139</v>
      </c>
      <c r="AH1" s="245" t="s">
        <v>139</v>
      </c>
      <c r="AI1" s="245" t="s">
        <v>139</v>
      </c>
      <c r="AJ1" s="245" t="s">
        <v>139</v>
      </c>
      <c r="AK1" s="245" t="s">
        <v>139</v>
      </c>
      <c r="AL1" s="245" t="s">
        <v>139</v>
      </c>
      <c r="AM1" s="245" t="s">
        <v>139</v>
      </c>
      <c r="AN1" s="245" t="s">
        <v>139</v>
      </c>
      <c r="AO1" s="245" t="s">
        <v>139</v>
      </c>
      <c r="AP1" s="245" t="s">
        <v>139</v>
      </c>
      <c r="AQ1" s="245" t="s">
        <v>139</v>
      </c>
      <c r="AR1" s="245" t="s">
        <v>139</v>
      </c>
      <c r="AS1" s="245" t="s">
        <v>139</v>
      </c>
      <c r="AT1" s="245" t="s">
        <v>139</v>
      </c>
      <c r="AU1" s="245" t="s">
        <v>139</v>
      </c>
      <c r="AV1" s="245" t="s">
        <v>139</v>
      </c>
      <c r="AW1" s="245" t="s">
        <v>139</v>
      </c>
      <c r="AX1" s="245" t="s">
        <v>139</v>
      </c>
      <c r="AY1" s="261" t="s">
        <v>140</v>
      </c>
      <c r="AZ1" s="261" t="s">
        <v>140</v>
      </c>
      <c r="BA1" s="261" t="s">
        <v>140</v>
      </c>
      <c r="BB1" s="261" t="s">
        <v>140</v>
      </c>
      <c r="BC1" s="261" t="s">
        <v>140</v>
      </c>
      <c r="BD1" s="261" t="s">
        <v>140</v>
      </c>
      <c r="BE1" s="261" t="s">
        <v>140</v>
      </c>
      <c r="BF1" s="261" t="s">
        <v>140</v>
      </c>
    </row>
    <row r="2" spans="1:58" s="166" customFormat="1" ht="9.9499999999999993" customHeight="1" x14ac:dyDescent="0.2">
      <c r="A2" s="163"/>
      <c r="B2" s="22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4" t="s">
        <v>121</v>
      </c>
      <c r="AZ2" s="474" t="s">
        <v>121</v>
      </c>
      <c r="BA2" s="474" t="s">
        <v>121</v>
      </c>
      <c r="BB2" s="474" t="s">
        <v>121</v>
      </c>
      <c r="BC2" s="474" t="s">
        <v>121</v>
      </c>
      <c r="BD2" s="474" t="s">
        <v>121</v>
      </c>
      <c r="BE2" s="474" t="s">
        <v>121</v>
      </c>
      <c r="BF2" s="474" t="s">
        <v>121</v>
      </c>
    </row>
    <row r="3" spans="1:58" s="1" customFormat="1" ht="9.9499999999999993" customHeight="1" x14ac:dyDescent="0.2">
      <c r="A3" s="167"/>
      <c r="B3" s="168">
        <v>44958</v>
      </c>
      <c r="C3" s="429" t="s">
        <v>93</v>
      </c>
      <c r="D3" s="430"/>
      <c r="E3" s="430"/>
      <c r="F3" s="431"/>
      <c r="G3" s="306">
        <f>'01 -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88"/>
      <c r="C4" s="152"/>
      <c r="D4" s="90"/>
      <c r="E4" s="89"/>
      <c r="F4" s="170">
        <f t="shared" ref="F4:F40" si="4">-1*(E4-(SUM(O4:BD4)))</f>
        <v>0</v>
      </c>
      <c r="G4" s="309">
        <f t="shared" ref="G4:G39" si="5"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88"/>
      <c r="C5" s="152"/>
      <c r="D5" s="90"/>
      <c r="E5" s="89"/>
      <c r="F5" s="170">
        <f t="shared" si="4"/>
        <v>0</v>
      </c>
      <c r="G5" s="309">
        <f t="shared" si="5"/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88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46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88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5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88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88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4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88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52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88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52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88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88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88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89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53"/>
      <c r="L15" s="348"/>
      <c r="M15" s="349"/>
      <c r="N15" s="76"/>
      <c r="O15" s="76"/>
      <c r="P15" s="76"/>
      <c r="Q15" s="89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53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8"/>
      <c r="AT16" s="158"/>
      <c r="AU16" s="158"/>
      <c r="AV16" s="158"/>
      <c r="AW16" s="158"/>
      <c r="AX16" s="158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47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88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47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88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88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88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88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88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88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61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88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88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88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88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88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88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88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88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88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88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88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88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88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88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156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246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T40" si="8">SUM(AS4:AS39)</f>
        <v>0</v>
      </c>
      <c r="AT40" s="333">
        <f t="shared" si="8"/>
        <v>0</v>
      </c>
      <c r="AU40" s="333">
        <f t="shared" ref="AU40:AV40" si="9">SUM(AU4:AU39)</f>
        <v>0</v>
      </c>
      <c r="AV40" s="333">
        <f t="shared" si="9"/>
        <v>0</v>
      </c>
      <c r="AW40" s="333">
        <f t="shared" ref="AW40:AX40" si="10">SUM(AW4:AW39)</f>
        <v>0</v>
      </c>
      <c r="AX40" s="333">
        <f t="shared" si="10"/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247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T41" si="14">AS1</f>
        <v>G/L P&amp;L Acct Name</v>
      </c>
      <c r="AT41" s="191" t="str">
        <f t="shared" si="14"/>
        <v>G/L P&amp;L Acct Name</v>
      </c>
      <c r="AU41" s="191" t="str">
        <f t="shared" ref="AU41:AV41" si="15">AU1</f>
        <v>G/L P&amp;L Acct Name</v>
      </c>
      <c r="AV41" s="191" t="str">
        <f t="shared" si="15"/>
        <v>G/L P&amp;L Acct Name</v>
      </c>
      <c r="AW41" s="191" t="str">
        <f t="shared" ref="AW41:AX41" si="16">AW1</f>
        <v>G/L P&amp;L Acct Name</v>
      </c>
      <c r="AX41" s="191" t="str">
        <f t="shared" si="16"/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247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247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247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48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4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54" priority="6" operator="lessThan">
      <formula>0</formula>
    </cfRule>
  </conditionalFormatting>
  <conditionalFormatting sqref="D47:D48 E40:E45 F40 I40:J40">
    <cfRule type="cellIs" dxfId="53" priority="5" operator="lessThan">
      <formula>0</formula>
    </cfRule>
  </conditionalFormatting>
  <conditionalFormatting sqref="L3">
    <cfRule type="cellIs" dxfId="52" priority="3" operator="lessThan">
      <formula>0</formula>
    </cfRule>
  </conditionalFormatting>
  <conditionalFormatting sqref="L40">
    <cfRule type="cellIs" dxfId="51" priority="2" operator="lessThan">
      <formula>0</formula>
    </cfRule>
  </conditionalFormatting>
  <conditionalFormatting sqref="I3:J3">
    <cfRule type="cellIs" dxfId="50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3:F20 F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7F7DD-8165-4DBF-B78E-F0E856E9F94D}">
  <sheetPr codeName="Sheet18">
    <tabColor rgb="FFFF0000"/>
    <pageSetUpPr fitToPage="1"/>
  </sheetPr>
  <dimension ref="A1:BF63"/>
  <sheetViews>
    <sheetView zoomScaleNormal="100" workbookViewId="0">
      <pane xSplit="7" ySplit="3" topLeftCell="H10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0.77734375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57" width="8.88671875" style="257"/>
    <col min="58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44986</v>
      </c>
      <c r="C3" s="429" t="s">
        <v>93</v>
      </c>
      <c r="D3" s="430"/>
      <c r="E3" s="430"/>
      <c r="F3" s="431"/>
      <c r="G3" s="306">
        <f>'02 -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304"/>
      <c r="C4" s="303"/>
      <c r="D4" s="150"/>
      <c r="E4" s="151"/>
      <c r="F4" s="170">
        <f t="shared" ref="F4:F40" si="4">-1*(E4-(SUM(O4:BD4)))</f>
        <v>0</v>
      </c>
      <c r="G4" s="309">
        <f t="shared" ref="G4:G39" si="5">G3-E4+I4+J4+L4</f>
        <v>0</v>
      </c>
      <c r="H4" s="345"/>
      <c r="I4" s="346"/>
      <c r="J4" s="346"/>
      <c r="K4" s="359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304"/>
      <c r="C5" s="303"/>
      <c r="D5" s="150"/>
      <c r="E5" s="151"/>
      <c r="F5" s="170">
        <f t="shared" si="4"/>
        <v>0</v>
      </c>
      <c r="G5" s="309">
        <f t="shared" si="5"/>
        <v>0</v>
      </c>
      <c r="H5" s="345"/>
      <c r="I5" s="346"/>
      <c r="J5" s="346"/>
      <c r="K5" s="359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304"/>
      <c r="C6" s="303"/>
      <c r="D6" s="150"/>
      <c r="E6" s="151"/>
      <c r="F6" s="170">
        <f t="shared" si="4"/>
        <v>0</v>
      </c>
      <c r="G6" s="309">
        <f t="shared" si="5"/>
        <v>0</v>
      </c>
      <c r="H6" s="345"/>
      <c r="I6" s="346"/>
      <c r="J6" s="346"/>
      <c r="K6" s="359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304"/>
      <c r="C7" s="303"/>
      <c r="D7" s="150"/>
      <c r="E7" s="151"/>
      <c r="F7" s="170">
        <f t="shared" si="4"/>
        <v>0</v>
      </c>
      <c r="G7" s="309">
        <f t="shared" si="5"/>
        <v>0</v>
      </c>
      <c r="H7" s="345"/>
      <c r="I7" s="346"/>
      <c r="J7" s="346"/>
      <c r="K7" s="359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304"/>
      <c r="C8" s="303"/>
      <c r="D8" s="150"/>
      <c r="E8" s="151"/>
      <c r="F8" s="170">
        <f t="shared" si="4"/>
        <v>0</v>
      </c>
      <c r="G8" s="309">
        <f t="shared" si="5"/>
        <v>0</v>
      </c>
      <c r="H8" s="345"/>
      <c r="I8" s="346"/>
      <c r="J8" s="346"/>
      <c r="K8" s="359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304"/>
      <c r="C9" s="303"/>
      <c r="D9" s="150"/>
      <c r="E9" s="151"/>
      <c r="F9" s="170">
        <f t="shared" si="4"/>
        <v>0</v>
      </c>
      <c r="G9" s="309">
        <f t="shared" si="5"/>
        <v>0</v>
      </c>
      <c r="H9" s="345"/>
      <c r="I9" s="346"/>
      <c r="J9" s="346"/>
      <c r="K9" s="359"/>
      <c r="L9" s="348"/>
      <c r="M9" s="349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304"/>
      <c r="C10" s="303"/>
      <c r="D10" s="150"/>
      <c r="E10" s="151"/>
      <c r="F10" s="170">
        <f t="shared" si="4"/>
        <v>0</v>
      </c>
      <c r="G10" s="309">
        <f t="shared" si="5"/>
        <v>0</v>
      </c>
      <c r="H10" s="345"/>
      <c r="I10" s="346"/>
      <c r="J10" s="346"/>
      <c r="K10" s="359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304"/>
      <c r="C11" s="303"/>
      <c r="D11" s="150"/>
      <c r="E11" s="151"/>
      <c r="F11" s="170">
        <f t="shared" si="4"/>
        <v>0</v>
      </c>
      <c r="G11" s="309">
        <f t="shared" si="5"/>
        <v>0</v>
      </c>
      <c r="H11" s="345"/>
      <c r="I11" s="346"/>
      <c r="J11" s="346"/>
      <c r="K11" s="359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304"/>
      <c r="C12" s="303"/>
      <c r="D12" s="150"/>
      <c r="E12" s="151"/>
      <c r="F12" s="170">
        <f t="shared" si="4"/>
        <v>0</v>
      </c>
      <c r="G12" s="309">
        <f t="shared" si="5"/>
        <v>0</v>
      </c>
      <c r="H12" s="345"/>
      <c r="I12" s="346"/>
      <c r="J12" s="352"/>
      <c r="K12" s="359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304"/>
      <c r="C13" s="303"/>
      <c r="D13" s="150"/>
      <c r="E13" s="151"/>
      <c r="F13" s="170">
        <f t="shared" si="4"/>
        <v>0</v>
      </c>
      <c r="G13" s="309">
        <f t="shared" si="5"/>
        <v>0</v>
      </c>
      <c r="H13" s="345"/>
      <c r="I13" s="346"/>
      <c r="J13" s="352"/>
      <c r="K13" s="359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304"/>
      <c r="C14" s="303"/>
      <c r="D14" s="150"/>
      <c r="E14" s="151"/>
      <c r="F14" s="170">
        <f t="shared" si="4"/>
        <v>0</v>
      </c>
      <c r="G14" s="309">
        <f t="shared" si="5"/>
        <v>0</v>
      </c>
      <c r="H14" s="345"/>
      <c r="I14" s="346"/>
      <c r="J14" s="352"/>
      <c r="K14" s="359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258"/>
      <c r="BE14" s="258"/>
      <c r="BF14" s="258"/>
    </row>
    <row r="15" spans="1:58" s="45" customFormat="1" ht="9.9499999999999993" customHeight="1" x14ac:dyDescent="0.2">
      <c r="A15" s="169">
        <v>12</v>
      </c>
      <c r="B15" s="305"/>
      <c r="C15" s="303"/>
      <c r="D15" s="150"/>
      <c r="E15" s="151"/>
      <c r="F15" s="170">
        <f t="shared" si="4"/>
        <v>0</v>
      </c>
      <c r="G15" s="309">
        <f t="shared" si="5"/>
        <v>0</v>
      </c>
      <c r="H15" s="345"/>
      <c r="I15" s="346"/>
      <c r="J15" s="352"/>
      <c r="K15" s="359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305"/>
      <c r="C16" s="303"/>
      <c r="D16" s="150"/>
      <c r="E16" s="151"/>
      <c r="F16" s="170">
        <f t="shared" si="4"/>
        <v>0</v>
      </c>
      <c r="G16" s="309">
        <f t="shared" si="5"/>
        <v>0</v>
      </c>
      <c r="H16" s="345"/>
      <c r="I16" s="346"/>
      <c r="J16" s="352"/>
      <c r="K16" s="359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305"/>
      <c r="C17" s="303"/>
      <c r="D17" s="150"/>
      <c r="E17" s="151"/>
      <c r="F17" s="170">
        <f t="shared" si="4"/>
        <v>0</v>
      </c>
      <c r="G17" s="309">
        <f t="shared" si="5"/>
        <v>0</v>
      </c>
      <c r="H17" s="345"/>
      <c r="I17" s="346"/>
      <c r="J17" s="352"/>
      <c r="K17" s="360"/>
      <c r="L17" s="354"/>
      <c r="M17" s="355"/>
      <c r="N17" s="76"/>
      <c r="O17" s="258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304"/>
      <c r="C18" s="303"/>
      <c r="D18" s="150"/>
      <c r="E18" s="151"/>
      <c r="F18" s="170">
        <f t="shared" si="4"/>
        <v>0</v>
      </c>
      <c r="G18" s="309">
        <f t="shared" si="5"/>
        <v>0</v>
      </c>
      <c r="H18" s="345"/>
      <c r="I18" s="346"/>
      <c r="J18" s="352"/>
      <c r="K18" s="359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304"/>
      <c r="C19" s="303"/>
      <c r="D19" s="150"/>
      <c r="E19" s="151"/>
      <c r="F19" s="170">
        <f t="shared" si="4"/>
        <v>0</v>
      </c>
      <c r="G19" s="309">
        <f t="shared" si="5"/>
        <v>0</v>
      </c>
      <c r="H19" s="345"/>
      <c r="I19" s="346"/>
      <c r="J19" s="352"/>
      <c r="K19" s="359"/>
      <c r="L19" s="348"/>
      <c r="M19" s="349"/>
      <c r="N19" s="76"/>
      <c r="O19" s="76"/>
      <c r="P19" s="151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303"/>
      <c r="D20" s="15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59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59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59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59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59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59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59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59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60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60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59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59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59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59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59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59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59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59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59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59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364">
        <f>SUM(O40:AX40)</f>
        <v>0</v>
      </c>
      <c r="F43" s="204"/>
      <c r="G43" s="204"/>
      <c r="H43" s="366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365">
        <f>SUM(AY40:BF40)</f>
        <v>0</v>
      </c>
      <c r="F44" s="36"/>
      <c r="G44" s="36"/>
      <c r="H44" s="362"/>
      <c r="I44" s="362"/>
      <c r="J44" s="362"/>
      <c r="K44" s="362"/>
      <c r="L44" s="362"/>
      <c r="M44" s="363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48" t="s">
        <v>109</v>
      </c>
      <c r="D49" s="448"/>
      <c r="E49" s="449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L1:L2"/>
    <mergeCell ref="M1:M2"/>
    <mergeCell ref="K1:K2"/>
    <mergeCell ref="C3:F3"/>
    <mergeCell ref="C40:D40"/>
    <mergeCell ref="D1:D2"/>
    <mergeCell ref="E1:E2"/>
    <mergeCell ref="F1:F2"/>
    <mergeCell ref="G1:G2"/>
    <mergeCell ref="H1:H2"/>
    <mergeCell ref="J1:J2"/>
    <mergeCell ref="I1:I2"/>
    <mergeCell ref="A49:B49"/>
    <mergeCell ref="C49:E49"/>
    <mergeCell ref="B47:C47"/>
    <mergeCell ref="B48:C48"/>
    <mergeCell ref="A46:E46"/>
    <mergeCell ref="C43:D43"/>
    <mergeCell ref="C44:D44"/>
    <mergeCell ref="C41:D41"/>
    <mergeCell ref="C42:D42"/>
    <mergeCell ref="C45:D45"/>
  </mergeCells>
  <conditionalFormatting sqref="N3:BF3 N40:BF40">
    <cfRule type="cellIs" dxfId="49" priority="6" operator="lessThan">
      <formula>0</formula>
    </cfRule>
  </conditionalFormatting>
  <conditionalFormatting sqref="D47:D48 E40:E45 F40 I40:J40">
    <cfRule type="cellIs" dxfId="48" priority="5" operator="lessThan">
      <formula>0</formula>
    </cfRule>
  </conditionalFormatting>
  <conditionalFormatting sqref="L3">
    <cfRule type="cellIs" dxfId="47" priority="3" operator="lessThan">
      <formula>0</formula>
    </cfRule>
  </conditionalFormatting>
  <conditionalFormatting sqref="L40">
    <cfRule type="cellIs" dxfId="46" priority="2" operator="lessThan">
      <formula>0</formula>
    </cfRule>
  </conditionalFormatting>
  <conditionalFormatting sqref="I3:J3">
    <cfRule type="cellIs" dxfId="45" priority="1" operator="lessThan">
      <formula>0</formula>
    </cfRule>
  </conditionalFormatting>
  <printOptions gridLines="1"/>
  <pageMargins left="0" right="0" top="0.35" bottom="0.1" header="0" footer="0"/>
  <pageSetup scale="23" orientation="landscape" r:id="rId1"/>
  <headerFooter>
    <oddHeader>&amp;C&amp;F&amp;R&amp;D</oddHeader>
    <oddFooter>&amp;L&amp;8Page &amp;P of &amp;N&amp;R&amp;8&amp;Z&amp;F</oddFooter>
  </headerFooter>
  <ignoredErrors>
    <ignoredError sqref="F13:F19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D9C2-EE52-4EBF-9010-83DA7DE7E81E}">
  <sheetPr codeName="Sheet19">
    <tabColor rgb="FF00B0F0"/>
  </sheetPr>
  <dimension ref="A1:BF63"/>
  <sheetViews>
    <sheetView zoomScale="125" zoomScaleNormal="125" workbookViewId="0">
      <pane xSplit="7" ySplit="3" topLeftCell="Y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39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.77734375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22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45383</v>
      </c>
      <c r="C3" s="429" t="s">
        <v>93</v>
      </c>
      <c r="D3" s="430"/>
      <c r="E3" s="430"/>
      <c r="F3" s="431"/>
      <c r="G3" s="306">
        <f>'03 -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88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88"/>
      <c r="C5" s="152"/>
      <c r="D5" s="90"/>
      <c r="E5" s="89"/>
      <c r="F5" s="170">
        <f t="shared" si="4"/>
        <v>0</v>
      </c>
      <c r="G5" s="309">
        <f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88"/>
      <c r="C6" s="152"/>
      <c r="D6" s="90"/>
      <c r="E6" s="89"/>
      <c r="F6" s="170">
        <f>-1*(E6-(SUM(O6:BD6)))</f>
        <v>0</v>
      </c>
      <c r="G6" s="309">
        <f>G5-E6+I6+J6+L6</f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88"/>
      <c r="C7" s="152"/>
      <c r="D7" s="90"/>
      <c r="E7" s="308"/>
      <c r="F7" s="170">
        <f>-1*(E7-(SUM(O7:BD7)))</f>
        <v>0</v>
      </c>
      <c r="G7" s="309">
        <f>G6-E7+I7+J7+L7</f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88"/>
      <c r="C8" s="152"/>
      <c r="D8" s="90"/>
      <c r="E8" s="89"/>
      <c r="F8" s="170">
        <f t="shared" si="4"/>
        <v>0</v>
      </c>
      <c r="G8" s="309">
        <f t="shared" ref="G8:G39" si="5">G7-E8+I8+J8+L8</f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88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4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88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88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88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88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88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88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88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88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88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88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88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88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88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88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88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88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88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88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88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88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88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88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88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88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88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88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156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246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247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247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247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247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48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44" priority="6" operator="lessThan">
      <formula>0</formula>
    </cfRule>
  </conditionalFormatting>
  <conditionalFormatting sqref="D47:D48 E40:E45 F40 I40:J40">
    <cfRule type="cellIs" dxfId="43" priority="5" operator="lessThan">
      <formula>0</formula>
    </cfRule>
  </conditionalFormatting>
  <conditionalFormatting sqref="L3">
    <cfRule type="cellIs" dxfId="42" priority="3" operator="lessThan">
      <formula>0</formula>
    </cfRule>
  </conditionalFormatting>
  <conditionalFormatting sqref="L40">
    <cfRule type="cellIs" dxfId="41" priority="2" operator="lessThan">
      <formula>0</formula>
    </cfRule>
  </conditionalFormatting>
  <conditionalFormatting sqref="I3:J3">
    <cfRule type="cellIs" dxfId="40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0:F19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44B0-253A-4A3A-B347-C7D19F5BC153}">
  <sheetPr codeName="Sheet20">
    <tabColor rgb="FFFF0000"/>
  </sheetPr>
  <dimension ref="A1:BF63"/>
  <sheetViews>
    <sheetView zoomScale="125" zoomScaleNormal="125" workbookViewId="0">
      <pane xSplit="7" ySplit="3" topLeftCell="H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10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45047</v>
      </c>
      <c r="C3" s="429" t="s">
        <v>93</v>
      </c>
      <c r="D3" s="430"/>
      <c r="E3" s="430"/>
      <c r="F3" s="431"/>
      <c r="G3" s="306">
        <f>'04 - CDJ'!G39</f>
        <v>0</v>
      </c>
      <c r="H3" s="310">
        <v>5555</v>
      </c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26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39" priority="6" operator="lessThan">
      <formula>0</formula>
    </cfRule>
  </conditionalFormatting>
  <conditionalFormatting sqref="D47:D48 E40:E45 F40 I40:J40">
    <cfRule type="cellIs" dxfId="38" priority="5" operator="lessThan">
      <formula>0</formula>
    </cfRule>
  </conditionalFormatting>
  <conditionalFormatting sqref="L3">
    <cfRule type="cellIs" dxfId="37" priority="3" operator="lessThan">
      <formula>0</formula>
    </cfRule>
  </conditionalFormatting>
  <conditionalFormatting sqref="L40">
    <cfRule type="cellIs" dxfId="36" priority="2" operator="lessThan">
      <formula>0</formula>
    </cfRule>
  </conditionalFormatting>
  <conditionalFormatting sqref="I3:J3">
    <cfRule type="cellIs" dxfId="35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8:F2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B7D1B-1021-4A66-BDDD-D192C6713CAA}">
  <sheetPr codeName="Sheet21">
    <tabColor rgb="FF00B0F0"/>
  </sheetPr>
  <dimension ref="A1:BF63"/>
  <sheetViews>
    <sheetView zoomScale="120" zoomScaleNormal="120" workbookViewId="0">
      <pane xSplit="7" ySplit="3" topLeftCell="H10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32" t="s">
        <v>137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33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45078</v>
      </c>
      <c r="C3" s="429" t="s">
        <v>93</v>
      </c>
      <c r="D3" s="430"/>
      <c r="E3" s="430"/>
      <c r="F3" s="431"/>
      <c r="G3" s="306">
        <f>'05 -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6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52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91"/>
      <c r="C6" s="367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58"/>
      <c r="X6" s="58"/>
      <c r="Y6" s="58"/>
      <c r="Z6" s="58"/>
      <c r="AA6" s="58"/>
      <c r="AB6" s="58"/>
      <c r="AC6" s="58"/>
      <c r="AD6" s="58"/>
      <c r="AE6" s="58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58"/>
      <c r="AR6" s="58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47"/>
      <c r="L9" s="348"/>
      <c r="M9" s="349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270"/>
      <c r="BE14" s="76"/>
      <c r="BF14" s="76"/>
    </row>
    <row r="15" spans="1:58" s="45" customFormat="1" ht="9.9499999999999993" customHeight="1" x14ac:dyDescent="0.2">
      <c r="A15" s="169">
        <v>12</v>
      </c>
      <c r="B15" s="91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91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91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307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>SUM(L4:L39)</f>
        <v>0</v>
      </c>
      <c r="M40" s="331"/>
      <c r="N40" s="328">
        <f t="shared" ref="N40:S40" si="6">SUM(N4:N39)</f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and Other P&amp;L Deposits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34" priority="6" operator="lessThan">
      <formula>0</formula>
    </cfRule>
  </conditionalFormatting>
  <conditionalFormatting sqref="D47:D48 E40:E45 F40 I40:J40">
    <cfRule type="cellIs" dxfId="33" priority="5" operator="lessThan">
      <formula>0</formula>
    </cfRule>
  </conditionalFormatting>
  <conditionalFormatting sqref="L3">
    <cfRule type="cellIs" dxfId="32" priority="3" operator="lessThan">
      <formula>0</formula>
    </cfRule>
  </conditionalFormatting>
  <conditionalFormatting sqref="L40">
    <cfRule type="cellIs" dxfId="31" priority="2" operator="lessThan">
      <formula>0</formula>
    </cfRule>
  </conditionalFormatting>
  <conditionalFormatting sqref="I3:J3">
    <cfRule type="cellIs" dxfId="30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8:F25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28728-C62B-4AA5-A667-0AC046E99C6D}">
  <sheetPr codeName="Sheet22">
    <tabColor rgb="FFFF0000"/>
  </sheetPr>
  <dimension ref="A1:BF63"/>
  <sheetViews>
    <sheetView zoomScale="120" zoomScaleNormal="120" workbookViewId="0">
      <pane xSplit="7" ySplit="3" topLeftCell="H16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2" width="7.44140625" style="50" bestFit="1" customWidth="1"/>
    <col min="53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45108</v>
      </c>
      <c r="C3" s="429" t="s">
        <v>93</v>
      </c>
      <c r="D3" s="430"/>
      <c r="E3" s="430"/>
      <c r="F3" s="431"/>
      <c r="G3" s="306">
        <f>'06 -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29" priority="6" operator="lessThan">
      <formula>0</formula>
    </cfRule>
  </conditionalFormatting>
  <conditionalFormatting sqref="D47:D48 E40:E45 F40 I40:J40">
    <cfRule type="cellIs" dxfId="28" priority="5" operator="lessThan">
      <formula>0</formula>
    </cfRule>
  </conditionalFormatting>
  <conditionalFormatting sqref="L3">
    <cfRule type="cellIs" dxfId="27" priority="3" operator="lessThan">
      <formula>0</formula>
    </cfRule>
  </conditionalFormatting>
  <conditionalFormatting sqref="L40">
    <cfRule type="cellIs" dxfId="26" priority="2" operator="lessThan">
      <formula>0</formula>
    </cfRule>
  </conditionalFormatting>
  <conditionalFormatting sqref="I3:J3">
    <cfRule type="cellIs" dxfId="25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3:F25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F078-8D9C-49F9-9917-4E4827B937F7}">
  <sheetPr codeName="Sheet23">
    <tabColor rgb="FF00B0F0"/>
  </sheetPr>
  <dimension ref="A1:BF63"/>
  <sheetViews>
    <sheetView zoomScale="120" zoomScaleNormal="120" workbookViewId="0">
      <pane xSplit="7" ySplit="3" topLeftCell="H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39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2" width="7.44140625" style="50" bestFit="1" customWidth="1"/>
    <col min="53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60" t="s">
        <v>140</v>
      </c>
      <c r="AZ1" s="260" t="s">
        <v>140</v>
      </c>
      <c r="BA1" s="260" t="s">
        <v>140</v>
      </c>
      <c r="BB1" s="260" t="s">
        <v>140</v>
      </c>
      <c r="BC1" s="260" t="s">
        <v>140</v>
      </c>
      <c r="BD1" s="260" t="s">
        <v>140</v>
      </c>
      <c r="BE1" s="260" t="s">
        <v>140</v>
      </c>
      <c r="BF1" s="260" t="s">
        <v>140</v>
      </c>
    </row>
    <row r="2" spans="1:58" s="166" customFormat="1" ht="9.9499999999999993" customHeight="1" x14ac:dyDescent="0.2">
      <c r="A2" s="163"/>
      <c r="B2" s="22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3" t="s">
        <v>121</v>
      </c>
      <c r="AZ2" s="473" t="s">
        <v>121</v>
      </c>
      <c r="BA2" s="473" t="s">
        <v>121</v>
      </c>
      <c r="BB2" s="473" t="s">
        <v>121</v>
      </c>
      <c r="BC2" s="473" t="s">
        <v>121</v>
      </c>
      <c r="BD2" s="473" t="s">
        <v>121</v>
      </c>
      <c r="BE2" s="473" t="s">
        <v>121</v>
      </c>
      <c r="BF2" s="473" t="s">
        <v>121</v>
      </c>
    </row>
    <row r="3" spans="1:58" s="1" customFormat="1" ht="9.9499999999999993" customHeight="1" x14ac:dyDescent="0.2">
      <c r="A3" s="167"/>
      <c r="B3" s="168">
        <v>45139</v>
      </c>
      <c r="C3" s="429" t="s">
        <v>93</v>
      </c>
      <c r="D3" s="430"/>
      <c r="E3" s="430"/>
      <c r="F3" s="431"/>
      <c r="G3" s="306">
        <f>'07 -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23">
        <f>AY40</f>
        <v>0</v>
      </c>
      <c r="AZ3" s="324">
        <f>AZ40</f>
        <v>0</v>
      </c>
      <c r="BA3" s="324">
        <f>BA40</f>
        <v>0</v>
      </c>
      <c r="BB3" s="324">
        <f>BB40</f>
        <v>0</v>
      </c>
      <c r="BC3" s="324">
        <f t="shared" si="1"/>
        <v>0</v>
      </c>
      <c r="BD3" s="325">
        <f t="shared" si="1"/>
        <v>0</v>
      </c>
      <c r="BE3" s="325">
        <f t="shared" ref="BE3:BF3" si="3">BE40</f>
        <v>0</v>
      </c>
      <c r="BF3" s="324">
        <f t="shared" si="3"/>
        <v>0</v>
      </c>
    </row>
    <row r="4" spans="1:58" s="45" customFormat="1" ht="9.9499999999999993" customHeight="1" x14ac:dyDescent="0.2">
      <c r="A4" s="169">
        <v>1</v>
      </c>
      <c r="B4" s="88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88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88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88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88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88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88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88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88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88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88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58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88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88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88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88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88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88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88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88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88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88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88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88"/>
      <c r="C29" s="152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88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88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88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88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88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88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88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88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88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156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246"/>
      <c r="C40" s="414" t="s">
        <v>85</v>
      </c>
      <c r="D40" s="415"/>
      <c r="E40" s="173">
        <f>SUM(E4:E39)</f>
        <v>0</v>
      </c>
      <c r="F40" s="174">
        <f t="shared" si="4"/>
        <v>0</v>
      </c>
      <c r="G40" s="175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42">
        <f>SUM(AY4:AY39)</f>
        <v>0</v>
      </c>
      <c r="AZ40" s="343">
        <f>SUM(AZ4:AZ39)</f>
        <v>0</v>
      </c>
      <c r="BA40" s="343">
        <f>SUM(BA4:BA39)</f>
        <v>0</v>
      </c>
      <c r="BB40" s="343">
        <f>SUM(BB4:BB39)</f>
        <v>0</v>
      </c>
      <c r="BC40" s="343">
        <f t="shared" si="7"/>
        <v>0</v>
      </c>
      <c r="BD40" s="344">
        <f t="shared" si="7"/>
        <v>0</v>
      </c>
      <c r="BE40" s="344">
        <f t="shared" ref="BE40:BF40" si="11">SUM(BE4:BE39)</f>
        <v>0</v>
      </c>
      <c r="BF40" s="343">
        <f t="shared" si="11"/>
        <v>0</v>
      </c>
    </row>
    <row r="41" spans="1:58" ht="27.75" thickBot="1" x14ac:dyDescent="0.25">
      <c r="A41" s="177"/>
      <c r="B41" s="247"/>
      <c r="C41" s="416" t="s">
        <v>94</v>
      </c>
      <c r="D41" s="417"/>
      <c r="E41" s="179">
        <f>SUM(O40:BD40)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235" t="str">
        <f>AY1</f>
        <v>G/L Balance Sheet Name</v>
      </c>
      <c r="AZ41" s="236" t="str">
        <f>AZ1</f>
        <v>G/L Balance Sheet Name</v>
      </c>
      <c r="BA41" s="236" t="str">
        <f>BA1</f>
        <v>G/L Balance Sheet Name</v>
      </c>
      <c r="BB41" s="236" t="str">
        <f>BB1</f>
        <v>G/L Balance Sheet Name</v>
      </c>
      <c r="BC41" s="236" t="str">
        <f t="shared" si="13"/>
        <v>G/L Balance Sheet Name</v>
      </c>
      <c r="BD41" s="237" t="str">
        <f t="shared" si="13"/>
        <v>G/L Balance Sheet Name</v>
      </c>
      <c r="BE41" s="237" t="str">
        <f t="shared" ref="BE41:BF41" si="17">BE1</f>
        <v>G/L Balance Sheet Name</v>
      </c>
      <c r="BF41" s="238" t="str">
        <f t="shared" si="17"/>
        <v>G/L Balance Sheet Name</v>
      </c>
    </row>
    <row r="42" spans="1:58" ht="12" thickBot="1" x14ac:dyDescent="0.25">
      <c r="A42" s="177"/>
      <c r="B42" s="247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247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247"/>
      <c r="C44" s="450" t="s">
        <v>116</v>
      </c>
      <c r="D44" s="451"/>
      <c r="E44" s="239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48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1"/>
      <c r="E47" s="256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17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24" priority="6" operator="lessThan">
      <formula>0</formula>
    </cfRule>
  </conditionalFormatting>
  <conditionalFormatting sqref="D47:D48 E40:E45 F40 I40:J40">
    <cfRule type="cellIs" dxfId="23" priority="5" operator="lessThan">
      <formula>0</formula>
    </cfRule>
  </conditionalFormatting>
  <conditionalFormatting sqref="L3">
    <cfRule type="cellIs" dxfId="22" priority="3" operator="lessThan">
      <formula>0</formula>
    </cfRule>
  </conditionalFormatting>
  <conditionalFormatting sqref="L40">
    <cfRule type="cellIs" dxfId="21" priority="2" operator="lessThan">
      <formula>0</formula>
    </cfRule>
  </conditionalFormatting>
  <conditionalFormatting sqref="I3:J3">
    <cfRule type="cellIs" dxfId="20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20 F26 F30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21D71-3CC5-4A20-BE32-B80009E5FBB1}">
  <sheetPr codeName="Sheet24">
    <tabColor rgb="FFFF0000"/>
  </sheetPr>
  <dimension ref="A1:BF63"/>
  <sheetViews>
    <sheetView zoomScale="120" zoomScaleNormal="120" workbookViewId="0">
      <pane xSplit="7" ySplit="3" topLeftCell="AN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22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44805</v>
      </c>
      <c r="C3" s="429" t="s">
        <v>93</v>
      </c>
      <c r="D3" s="430"/>
      <c r="E3" s="430"/>
      <c r="F3" s="431"/>
      <c r="G3" s="306">
        <f>'08 - CDJ'!G39</f>
        <v>0</v>
      </c>
      <c r="H3" s="310"/>
      <c r="I3" s="322">
        <f>SUM(I4:I39)</f>
        <v>0</v>
      </c>
      <c r="J3" s="322">
        <f>SUM(J4:J39)</f>
        <v>0</v>
      </c>
      <c r="K3" s="312"/>
      <c r="L3" s="313">
        <f>SUM(L4:L39)</f>
        <v>0</v>
      </c>
      <c r="M3" s="312"/>
      <c r="N3" s="381">
        <f t="shared" ref="N3:S3" si="0">N40</f>
        <v>0</v>
      </c>
      <c r="O3" s="369">
        <f t="shared" si="0"/>
        <v>0</v>
      </c>
      <c r="P3" s="369">
        <f t="shared" si="0"/>
        <v>0</v>
      </c>
      <c r="Q3" s="369">
        <f t="shared" si="0"/>
        <v>0</v>
      </c>
      <c r="R3" s="369">
        <f t="shared" si="0"/>
        <v>0</v>
      </c>
      <c r="S3" s="369">
        <f t="shared" si="0"/>
        <v>0</v>
      </c>
      <c r="T3" s="369">
        <f>T40</f>
        <v>0</v>
      </c>
      <c r="U3" s="369">
        <f>U40</f>
        <v>0</v>
      </c>
      <c r="V3" s="369">
        <f t="shared" ref="V3:BD3" si="1">V40</f>
        <v>0</v>
      </c>
      <c r="W3" s="369">
        <f t="shared" si="1"/>
        <v>0</v>
      </c>
      <c r="X3" s="369">
        <f t="shared" si="1"/>
        <v>0</v>
      </c>
      <c r="Y3" s="369">
        <f t="shared" si="1"/>
        <v>0</v>
      </c>
      <c r="Z3" s="369">
        <f t="shared" si="1"/>
        <v>0</v>
      </c>
      <c r="AA3" s="369">
        <f t="shared" si="1"/>
        <v>0</v>
      </c>
      <c r="AB3" s="369">
        <f t="shared" si="1"/>
        <v>0</v>
      </c>
      <c r="AC3" s="369">
        <f t="shared" si="1"/>
        <v>0</v>
      </c>
      <c r="AD3" s="369">
        <f>AD40</f>
        <v>0</v>
      </c>
      <c r="AE3" s="369">
        <f t="shared" si="1"/>
        <v>0</v>
      </c>
      <c r="AF3" s="369">
        <f t="shared" si="1"/>
        <v>0</v>
      </c>
      <c r="AG3" s="369">
        <f t="shared" si="1"/>
        <v>0</v>
      </c>
      <c r="AH3" s="369">
        <f t="shared" si="1"/>
        <v>0</v>
      </c>
      <c r="AI3" s="369">
        <f t="shared" si="1"/>
        <v>0</v>
      </c>
      <c r="AJ3" s="369">
        <f t="shared" si="1"/>
        <v>0</v>
      </c>
      <c r="AK3" s="369">
        <f t="shared" si="1"/>
        <v>0</v>
      </c>
      <c r="AL3" s="369">
        <f t="shared" si="1"/>
        <v>0</v>
      </c>
      <c r="AM3" s="369">
        <f t="shared" si="1"/>
        <v>0</v>
      </c>
      <c r="AN3" s="369">
        <f t="shared" si="1"/>
        <v>0</v>
      </c>
      <c r="AO3" s="369">
        <f t="shared" si="1"/>
        <v>0</v>
      </c>
      <c r="AP3" s="369">
        <f t="shared" si="1"/>
        <v>0</v>
      </c>
      <c r="AQ3" s="369">
        <f t="shared" si="1"/>
        <v>0</v>
      </c>
      <c r="AR3" s="369">
        <f t="shared" si="1"/>
        <v>0</v>
      </c>
      <c r="AS3" s="369">
        <f t="shared" si="1"/>
        <v>0</v>
      </c>
      <c r="AT3" s="370">
        <f t="shared" si="1"/>
        <v>0</v>
      </c>
      <c r="AU3" s="371">
        <f t="shared" si="1"/>
        <v>0</v>
      </c>
      <c r="AV3" s="369">
        <f t="shared" si="1"/>
        <v>0</v>
      </c>
      <c r="AW3" s="369">
        <f t="shared" si="1"/>
        <v>0</v>
      </c>
      <c r="AX3" s="369">
        <f t="shared" ref="AX3" si="2">AX40</f>
        <v>0</v>
      </c>
      <c r="AY3" s="372">
        <f>AY40</f>
        <v>0</v>
      </c>
      <c r="AZ3" s="373">
        <f>AZ40</f>
        <v>0</v>
      </c>
      <c r="BA3" s="373">
        <f>BA40</f>
        <v>0</v>
      </c>
      <c r="BB3" s="373">
        <f>BB40</f>
        <v>0</v>
      </c>
      <c r="BC3" s="373">
        <f t="shared" si="1"/>
        <v>0</v>
      </c>
      <c r="BD3" s="326">
        <f t="shared" si="1"/>
        <v>0</v>
      </c>
      <c r="BE3" s="374">
        <f t="shared" ref="BE3:BF3" si="3">BE40</f>
        <v>0</v>
      </c>
      <c r="BF3" s="373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270"/>
      <c r="O5" s="270"/>
      <c r="P5" s="270"/>
      <c r="Q5" s="270"/>
      <c r="R5" s="270"/>
      <c r="S5" s="270"/>
      <c r="T5" s="270"/>
      <c r="U5" s="270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0"/>
      <c r="AL5" s="270"/>
      <c r="AM5" s="270"/>
      <c r="AN5" s="270"/>
      <c r="AO5" s="270"/>
      <c r="AP5" s="270"/>
      <c r="AQ5" s="270"/>
      <c r="AR5" s="270"/>
      <c r="AS5" s="270"/>
      <c r="AT5" s="270"/>
      <c r="AU5" s="270"/>
      <c r="AV5" s="270"/>
      <c r="AW5" s="270"/>
      <c r="AX5" s="270"/>
      <c r="AY5" s="270"/>
      <c r="AZ5" s="270"/>
      <c r="BA5" s="270"/>
      <c r="BB5" s="270"/>
      <c r="BC5" s="270"/>
      <c r="BD5" s="270"/>
      <c r="BE5" s="270"/>
      <c r="BF5" s="270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270"/>
      <c r="AY6" s="270"/>
      <c r="AZ6" s="270"/>
      <c r="BA6" s="270"/>
      <c r="BB6" s="270"/>
      <c r="BC6" s="270"/>
      <c r="BD6" s="270"/>
      <c r="BE6" s="270"/>
      <c r="BF6" s="270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270"/>
      <c r="O8" s="270"/>
      <c r="P8" s="270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270"/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  <c r="AT9" s="270"/>
      <c r="AU9" s="270"/>
      <c r="AV9" s="270"/>
      <c r="AW9" s="270"/>
      <c r="AX9" s="270"/>
      <c r="AY9" s="270"/>
      <c r="AZ9" s="270"/>
      <c r="BA9" s="270"/>
      <c r="BB9" s="270"/>
      <c r="BC9" s="270"/>
      <c r="BD9" s="270"/>
      <c r="BE9" s="270"/>
      <c r="BF9" s="270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>-1*(E10-(SUM(O10:BD10)))</f>
        <v>0</v>
      </c>
      <c r="G10" s="309">
        <f>G9-E10+I10+J10+L10</f>
        <v>0</v>
      </c>
      <c r="H10" s="345"/>
      <c r="I10" s="346"/>
      <c r="J10" s="346"/>
      <c r="K10" s="347"/>
      <c r="L10" s="348"/>
      <c r="M10" s="349"/>
      <c r="N10" s="270"/>
      <c r="O10" s="270"/>
      <c r="P10" s="270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  <c r="AT10" s="270"/>
      <c r="AU10" s="270"/>
      <c r="AV10" s="270"/>
      <c r="AW10" s="270"/>
      <c r="AX10" s="270"/>
      <c r="AY10" s="270"/>
      <c r="AZ10" s="270"/>
      <c r="BA10" s="270"/>
      <c r="BB10" s="270"/>
      <c r="BC10" s="270"/>
      <c r="BD10" s="270"/>
      <c r="BE10" s="270"/>
      <c r="BF10" s="270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>-1*(E11-(SUM(O11:BD11)))</f>
        <v>0</v>
      </c>
      <c r="G11" s="309">
        <f>G10-E11+I11+J11+L11</f>
        <v>0</v>
      </c>
      <c r="H11" s="345"/>
      <c r="I11" s="346"/>
      <c r="J11" s="346"/>
      <c r="K11" s="347"/>
      <c r="L11" s="348"/>
      <c r="M11" s="349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>-1*(E12-(SUM(O12:BD12)))</f>
        <v>0</v>
      </c>
      <c r="G12" s="309">
        <f>G11-E12+I12+J12+L12</f>
        <v>0</v>
      </c>
      <c r="H12" s="345"/>
      <c r="I12" s="346"/>
      <c r="J12" s="352"/>
      <c r="K12" s="347"/>
      <c r="L12" s="348"/>
      <c r="M12" s="349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  <c r="AT12" s="270"/>
      <c r="AU12" s="270"/>
      <c r="AV12" s="270"/>
      <c r="AW12" s="270"/>
      <c r="AX12" s="270"/>
      <c r="AY12" s="270"/>
      <c r="AZ12" s="270"/>
      <c r="BA12" s="270"/>
      <c r="BB12" s="270"/>
      <c r="BC12" s="270"/>
      <c r="BD12" s="270"/>
      <c r="BE12" s="270"/>
      <c r="BF12" s="270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  <c r="AT13" s="270"/>
      <c r="AU13" s="270"/>
      <c r="AV13" s="270"/>
      <c r="AW13" s="270"/>
      <c r="AX13" s="270"/>
      <c r="AY13" s="270"/>
      <c r="AZ13" s="270"/>
      <c r="BA13" s="270"/>
      <c r="BB13" s="270"/>
      <c r="BC13" s="270"/>
      <c r="BD13" s="270"/>
      <c r="BE13" s="270"/>
      <c r="BF13" s="270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</row>
    <row r="15" spans="1:58" s="45" customFormat="1" ht="9.9499999999999993" customHeight="1" x14ac:dyDescent="0.2">
      <c r="A15" s="169">
        <v>12</v>
      </c>
      <c r="B15" s="91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  <c r="AR15" s="270"/>
      <c r="AS15" s="270"/>
      <c r="AT15" s="270"/>
      <c r="AU15" s="270"/>
      <c r="AV15" s="270"/>
      <c r="AW15" s="270"/>
      <c r="AX15" s="270"/>
      <c r="AY15" s="270"/>
      <c r="AZ15" s="270"/>
      <c r="BA15" s="270"/>
      <c r="BB15" s="270"/>
      <c r="BC15" s="270"/>
      <c r="BD15" s="270"/>
      <c r="BE15" s="270"/>
      <c r="BF15" s="270"/>
    </row>
    <row r="16" spans="1:58" s="45" customFormat="1" ht="9.9499999999999993" customHeight="1" x14ac:dyDescent="0.2">
      <c r="A16" s="169">
        <v>13</v>
      </c>
      <c r="B16" s="91"/>
      <c r="C16" s="303"/>
      <c r="D16" s="150"/>
      <c r="E16" s="151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0"/>
      <c r="AR16" s="270"/>
      <c r="AS16" s="368"/>
      <c r="AT16" s="368"/>
      <c r="AU16" s="368"/>
      <c r="AV16" s="368"/>
      <c r="AW16" s="368"/>
      <c r="AX16" s="368"/>
      <c r="AY16" s="270"/>
      <c r="AZ16" s="270"/>
      <c r="BA16" s="270"/>
      <c r="BB16" s="270"/>
      <c r="BC16" s="270"/>
      <c r="BD16" s="270"/>
      <c r="BE16" s="270"/>
      <c r="BF16" s="270"/>
    </row>
    <row r="17" spans="1:58" s="45" customFormat="1" ht="9.9499999999999993" customHeight="1" x14ac:dyDescent="0.2">
      <c r="A17" s="169">
        <v>14</v>
      </c>
      <c r="B17" s="91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0"/>
      <c r="AT18" s="270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  <c r="BF18" s="270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270"/>
      <c r="O19" s="270"/>
      <c r="P19" s="270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70"/>
      <c r="AB19" s="270"/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  <c r="AR19" s="270"/>
      <c r="AS19" s="270"/>
      <c r="AT19" s="270"/>
      <c r="AU19" s="270"/>
      <c r="AV19" s="270"/>
      <c r="AW19" s="270"/>
      <c r="AX19" s="270"/>
      <c r="AY19" s="270"/>
      <c r="AZ19" s="270"/>
      <c r="BA19" s="270"/>
      <c r="BB19" s="270"/>
      <c r="BC19" s="270"/>
      <c r="BD19" s="270"/>
      <c r="BE19" s="270"/>
      <c r="BF19" s="270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0"/>
      <c r="AU20" s="270"/>
      <c r="AV20" s="270"/>
      <c r="AW20" s="270"/>
      <c r="AX20" s="270"/>
      <c r="AY20" s="270"/>
      <c r="AZ20" s="270"/>
      <c r="BA20" s="270"/>
      <c r="BB20" s="270"/>
      <c r="BC20" s="270"/>
      <c r="BD20" s="270"/>
      <c r="BE20" s="270"/>
      <c r="BF20" s="270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270"/>
      <c r="AX21" s="270"/>
      <c r="AY21" s="270"/>
      <c r="AZ21" s="270"/>
      <c r="BA21" s="270"/>
      <c r="BB21" s="270"/>
      <c r="BC21" s="270"/>
      <c r="BD21" s="270"/>
      <c r="BE21" s="270"/>
      <c r="BF21" s="270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270"/>
      <c r="O23" s="270"/>
      <c r="P23" s="270"/>
      <c r="Q23" s="270"/>
      <c r="R23" s="270"/>
      <c r="S23" s="270"/>
      <c r="T23" s="270"/>
      <c r="U23" s="270"/>
      <c r="V23" s="270"/>
      <c r="W23" s="270"/>
      <c r="X23" s="270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0"/>
      <c r="AR23" s="270"/>
      <c r="AS23" s="270"/>
      <c r="AT23" s="270"/>
      <c r="AU23" s="270"/>
      <c r="AV23" s="270"/>
      <c r="AW23" s="270"/>
      <c r="AX23" s="270"/>
      <c r="AY23" s="270"/>
      <c r="AZ23" s="270"/>
      <c r="BA23" s="270"/>
      <c r="BB23" s="270"/>
      <c r="BC23" s="270"/>
      <c r="BD23" s="270"/>
      <c r="BE23" s="270"/>
      <c r="BF23" s="270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270"/>
      <c r="O24" s="270"/>
      <c r="P24" s="270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70"/>
      <c r="AB24" s="270"/>
      <c r="AC24" s="270"/>
      <c r="AD24" s="270"/>
      <c r="AE24" s="270"/>
      <c r="AF24" s="270"/>
      <c r="AG24" s="270"/>
      <c r="AH24" s="270"/>
      <c r="AI24" s="270"/>
      <c r="AJ24" s="270"/>
      <c r="AK24" s="270"/>
      <c r="AL24" s="270"/>
      <c r="AM24" s="270"/>
      <c r="AN24" s="270"/>
      <c r="AO24" s="270"/>
      <c r="AP24" s="270"/>
      <c r="AQ24" s="270"/>
      <c r="AR24" s="270"/>
      <c r="AS24" s="270"/>
      <c r="AT24" s="270"/>
      <c r="AU24" s="270"/>
      <c r="AV24" s="270"/>
      <c r="AW24" s="270"/>
      <c r="AX24" s="270"/>
      <c r="AY24" s="270"/>
      <c r="AZ24" s="270"/>
      <c r="BA24" s="270"/>
      <c r="BB24" s="270"/>
      <c r="BC24" s="270"/>
      <c r="BD24" s="270"/>
      <c r="BE24" s="270"/>
      <c r="BF24" s="270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270"/>
      <c r="O25" s="270"/>
      <c r="P25" s="270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0"/>
      <c r="AE25" s="270"/>
      <c r="AF25" s="270"/>
      <c r="AG25" s="270"/>
      <c r="AH25" s="270"/>
      <c r="AI25" s="270"/>
      <c r="AJ25" s="270"/>
      <c r="AK25" s="270"/>
      <c r="AL25" s="270"/>
      <c r="AM25" s="270"/>
      <c r="AN25" s="270"/>
      <c r="AO25" s="270"/>
      <c r="AP25" s="270"/>
      <c r="AQ25" s="270"/>
      <c r="AR25" s="270"/>
      <c r="AS25" s="270"/>
      <c r="AT25" s="270"/>
      <c r="AU25" s="270"/>
      <c r="AV25" s="270"/>
      <c r="AW25" s="270"/>
      <c r="AX25" s="270"/>
      <c r="AY25" s="270"/>
      <c r="AZ25" s="270"/>
      <c r="BA25" s="270"/>
      <c r="BB25" s="270"/>
      <c r="BC25" s="270"/>
      <c r="BD25" s="270"/>
      <c r="BE25" s="270"/>
      <c r="BF25" s="270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270"/>
      <c r="O26" s="270"/>
      <c r="P26" s="270"/>
      <c r="Q26" s="270"/>
      <c r="R26" s="270"/>
      <c r="S26" s="270"/>
      <c r="T26" s="270"/>
      <c r="U26" s="270"/>
      <c r="V26" s="270"/>
      <c r="W26" s="270"/>
      <c r="X26" s="270"/>
      <c r="Y26" s="270"/>
      <c r="Z26" s="270"/>
      <c r="AA26" s="270"/>
      <c r="AB26" s="270"/>
      <c r="AC26" s="270"/>
      <c r="AD26" s="270"/>
      <c r="AE26" s="270"/>
      <c r="AF26" s="270"/>
      <c r="AG26" s="270"/>
      <c r="AH26" s="270"/>
      <c r="AI26" s="270"/>
      <c r="AJ26" s="270"/>
      <c r="AK26" s="270"/>
      <c r="AL26" s="270"/>
      <c r="AM26" s="270"/>
      <c r="AN26" s="270"/>
      <c r="AO26" s="270"/>
      <c r="AP26" s="270"/>
      <c r="AQ26" s="270"/>
      <c r="AR26" s="270"/>
      <c r="AS26" s="270"/>
      <c r="AT26" s="270"/>
      <c r="AU26" s="270"/>
      <c r="AV26" s="270"/>
      <c r="AW26" s="270"/>
      <c r="AX26" s="270"/>
      <c r="AY26" s="270"/>
      <c r="AZ26" s="270"/>
      <c r="BA26" s="270"/>
      <c r="BB26" s="270"/>
      <c r="BC26" s="270"/>
      <c r="BD26" s="270"/>
      <c r="BE26" s="270"/>
      <c r="BF26" s="270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270"/>
      <c r="O27" s="270"/>
      <c r="P27" s="270"/>
      <c r="Q27" s="270"/>
      <c r="R27" s="270"/>
      <c r="S27" s="270"/>
      <c r="T27" s="270"/>
      <c r="U27" s="270"/>
      <c r="V27" s="270"/>
      <c r="W27" s="270"/>
      <c r="X27" s="270"/>
      <c r="Y27" s="270"/>
      <c r="Z27" s="270"/>
      <c r="AA27" s="270"/>
      <c r="AB27" s="270"/>
      <c r="AC27" s="270"/>
      <c r="AD27" s="270"/>
      <c r="AE27" s="270"/>
      <c r="AF27" s="270"/>
      <c r="AG27" s="270"/>
      <c r="AH27" s="270"/>
      <c r="AI27" s="270"/>
      <c r="AJ27" s="270"/>
      <c r="AK27" s="270"/>
      <c r="AL27" s="270"/>
      <c r="AM27" s="270"/>
      <c r="AN27" s="270"/>
      <c r="AO27" s="270"/>
      <c r="AP27" s="270"/>
      <c r="AQ27" s="270"/>
      <c r="AR27" s="270"/>
      <c r="AS27" s="270"/>
      <c r="AT27" s="270"/>
      <c r="AU27" s="270"/>
      <c r="AV27" s="270"/>
      <c r="AW27" s="270"/>
      <c r="AX27" s="270"/>
      <c r="AY27" s="270"/>
      <c r="AZ27" s="270"/>
      <c r="BA27" s="270"/>
      <c r="BB27" s="270"/>
      <c r="BC27" s="270"/>
      <c r="BD27" s="270"/>
      <c r="BE27" s="270"/>
      <c r="BF27" s="270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270"/>
      <c r="AK28" s="270"/>
      <c r="AL28" s="270"/>
      <c r="AM28" s="270"/>
      <c r="AN28" s="270"/>
      <c r="AO28" s="270"/>
      <c r="AP28" s="270"/>
      <c r="AQ28" s="270"/>
      <c r="AR28" s="270"/>
      <c r="AS28" s="270"/>
      <c r="AT28" s="270"/>
      <c r="AU28" s="270"/>
      <c r="AV28" s="270"/>
      <c r="AW28" s="270"/>
      <c r="AX28" s="270"/>
      <c r="AY28" s="270"/>
      <c r="AZ28" s="270"/>
      <c r="BA28" s="270"/>
      <c r="BB28" s="270"/>
      <c r="BC28" s="270"/>
      <c r="BD28" s="270"/>
      <c r="BE28" s="270"/>
      <c r="BF28" s="270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270"/>
      <c r="AK29" s="270"/>
      <c r="AL29" s="270"/>
      <c r="AM29" s="270"/>
      <c r="AN29" s="270"/>
      <c r="AO29" s="270"/>
      <c r="AP29" s="270"/>
      <c r="AQ29" s="270"/>
      <c r="AR29" s="270"/>
      <c r="AS29" s="270"/>
      <c r="AT29" s="270"/>
      <c r="AU29" s="270"/>
      <c r="AV29" s="270"/>
      <c r="AW29" s="270"/>
      <c r="AX29" s="270"/>
      <c r="AY29" s="270"/>
      <c r="AZ29" s="270"/>
      <c r="BA29" s="270"/>
      <c r="BB29" s="270"/>
      <c r="BC29" s="270"/>
      <c r="BD29" s="270"/>
      <c r="BE29" s="270"/>
      <c r="BF29" s="270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270"/>
      <c r="AK30" s="270"/>
      <c r="AL30" s="270"/>
      <c r="AM30" s="270"/>
      <c r="AN30" s="270"/>
      <c r="AO30" s="270"/>
      <c r="AP30" s="270"/>
      <c r="AQ30" s="270"/>
      <c r="AR30" s="270"/>
      <c r="AS30" s="270"/>
      <c r="AT30" s="270"/>
      <c r="AU30" s="270"/>
      <c r="AV30" s="270"/>
      <c r="AW30" s="270"/>
      <c r="AX30" s="270"/>
      <c r="AY30" s="270"/>
      <c r="AZ30" s="270"/>
      <c r="BA30" s="270"/>
      <c r="BB30" s="270"/>
      <c r="BC30" s="270"/>
      <c r="BD30" s="270"/>
      <c r="BE30" s="270"/>
      <c r="BF30" s="270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70"/>
      <c r="AK31" s="270"/>
      <c r="AL31" s="270"/>
      <c r="AM31" s="270"/>
      <c r="AN31" s="270"/>
      <c r="AO31" s="270"/>
      <c r="AP31" s="270"/>
      <c r="AQ31" s="270"/>
      <c r="AR31" s="270"/>
      <c r="AS31" s="270"/>
      <c r="AT31" s="270"/>
      <c r="AU31" s="270"/>
      <c r="AV31" s="270"/>
      <c r="AW31" s="270"/>
      <c r="AX31" s="270"/>
      <c r="AY31" s="270"/>
      <c r="AZ31" s="270"/>
      <c r="BA31" s="270"/>
      <c r="BB31" s="270"/>
      <c r="BC31" s="270"/>
      <c r="BD31" s="270"/>
      <c r="BE31" s="270"/>
      <c r="BF31" s="270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270"/>
      <c r="O32" s="270"/>
      <c r="P32" s="270"/>
      <c r="Q32" s="270"/>
      <c r="R32" s="270"/>
      <c r="S32" s="270"/>
      <c r="T32" s="270"/>
      <c r="U32" s="270"/>
      <c r="V32" s="270"/>
      <c r="W32" s="270"/>
      <c r="X32" s="270"/>
      <c r="Y32" s="270"/>
      <c r="Z32" s="270"/>
      <c r="AA32" s="270"/>
      <c r="AB32" s="270"/>
      <c r="AC32" s="270"/>
      <c r="AD32" s="270"/>
      <c r="AE32" s="270"/>
      <c r="AF32" s="270"/>
      <c r="AG32" s="270"/>
      <c r="AH32" s="270"/>
      <c r="AI32" s="270"/>
      <c r="AJ32" s="270"/>
      <c r="AK32" s="270"/>
      <c r="AL32" s="270"/>
      <c r="AM32" s="270"/>
      <c r="AN32" s="270"/>
      <c r="AO32" s="270"/>
      <c r="AP32" s="270"/>
      <c r="AQ32" s="270"/>
      <c r="AR32" s="270"/>
      <c r="AS32" s="270"/>
      <c r="AT32" s="270"/>
      <c r="AU32" s="270"/>
      <c r="AV32" s="270"/>
      <c r="AW32" s="270"/>
      <c r="AX32" s="270"/>
      <c r="AY32" s="270"/>
      <c r="AZ32" s="270"/>
      <c r="BA32" s="270"/>
      <c r="BB32" s="270"/>
      <c r="BC32" s="270"/>
      <c r="BD32" s="270"/>
      <c r="BE32" s="270"/>
      <c r="BF32" s="270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270"/>
      <c r="AK38" s="270"/>
      <c r="AL38" s="270"/>
      <c r="AM38" s="270"/>
      <c r="AN38" s="270"/>
      <c r="AO38" s="270"/>
      <c r="AP38" s="270"/>
      <c r="AQ38" s="270"/>
      <c r="AR38" s="270"/>
      <c r="AS38" s="270"/>
      <c r="AT38" s="270"/>
      <c r="AU38" s="270"/>
      <c r="AV38" s="270"/>
      <c r="AW38" s="270"/>
      <c r="AX38" s="270"/>
      <c r="AY38" s="270"/>
      <c r="AZ38" s="270"/>
      <c r="BA38" s="270"/>
      <c r="BB38" s="270"/>
      <c r="BC38" s="270"/>
      <c r="BD38" s="270"/>
      <c r="BE38" s="270"/>
      <c r="BF38" s="270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270"/>
      <c r="AK39" s="270"/>
      <c r="AL39" s="270"/>
      <c r="AM39" s="270"/>
      <c r="AN39" s="270"/>
      <c r="AO39" s="270"/>
      <c r="AP39" s="270"/>
      <c r="AQ39" s="270"/>
      <c r="AR39" s="270"/>
      <c r="AS39" s="270"/>
      <c r="AT39" s="270"/>
      <c r="AU39" s="270"/>
      <c r="AV39" s="270"/>
      <c r="AW39" s="270"/>
      <c r="AX39" s="270"/>
      <c r="AY39" s="270"/>
      <c r="AZ39" s="270"/>
      <c r="BA39" s="270"/>
      <c r="BB39" s="270"/>
      <c r="BC39" s="270"/>
      <c r="BD39" s="270"/>
      <c r="BE39" s="270"/>
      <c r="BF39" s="270"/>
    </row>
    <row r="40" spans="1:58" s="48" customFormat="1" ht="9.9499999999999993" customHeight="1" thickBot="1" x14ac:dyDescent="0.25">
      <c r="A40" s="225"/>
      <c r="B40" s="226"/>
      <c r="C40" s="452" t="s">
        <v>85</v>
      </c>
      <c r="D40" s="453"/>
      <c r="E40" s="227">
        <f>SUM(E4:E39)</f>
        <v>0</v>
      </c>
      <c r="F40" s="228">
        <f t="shared" si="4"/>
        <v>0</v>
      </c>
      <c r="G40" s="222"/>
      <c r="H40" s="337"/>
      <c r="I40" s="338">
        <f>SUM(I4:I39)</f>
        <v>0</v>
      </c>
      <c r="J40" s="338">
        <f>SUM(J4:J39)</f>
        <v>0</v>
      </c>
      <c r="K40" s="339"/>
      <c r="L40" s="340">
        <f t="shared" ref="L40:S40" si="6">SUM(L4:L39)</f>
        <v>0</v>
      </c>
      <c r="M40" s="341"/>
      <c r="N40" s="382">
        <f t="shared" si="6"/>
        <v>0</v>
      </c>
      <c r="O40" s="383">
        <f t="shared" si="6"/>
        <v>0</v>
      </c>
      <c r="P40" s="383">
        <f t="shared" si="6"/>
        <v>0</v>
      </c>
      <c r="Q40" s="383">
        <f t="shared" si="6"/>
        <v>0</v>
      </c>
      <c r="R40" s="383">
        <f t="shared" si="6"/>
        <v>0</v>
      </c>
      <c r="S40" s="383">
        <f t="shared" si="6"/>
        <v>0</v>
      </c>
      <c r="T40" s="383">
        <f>SUM(T4:T39)</f>
        <v>0</v>
      </c>
      <c r="U40" s="383">
        <f>SUM(U4:U39)</f>
        <v>0</v>
      </c>
      <c r="V40" s="383">
        <f t="shared" ref="V40:BD40" si="7">SUM(V4:V39)</f>
        <v>0</v>
      </c>
      <c r="W40" s="383">
        <f t="shared" si="7"/>
        <v>0</v>
      </c>
      <c r="X40" s="383">
        <f t="shared" si="7"/>
        <v>0</v>
      </c>
      <c r="Y40" s="383">
        <f t="shared" si="7"/>
        <v>0</v>
      </c>
      <c r="Z40" s="383">
        <f t="shared" si="7"/>
        <v>0</v>
      </c>
      <c r="AA40" s="383">
        <f t="shared" si="7"/>
        <v>0</v>
      </c>
      <c r="AB40" s="383">
        <f t="shared" si="7"/>
        <v>0</v>
      </c>
      <c r="AC40" s="383">
        <f t="shared" si="7"/>
        <v>0</v>
      </c>
      <c r="AD40" s="383">
        <f>SUM(AD4:AD39)</f>
        <v>0</v>
      </c>
      <c r="AE40" s="383">
        <f t="shared" si="7"/>
        <v>0</v>
      </c>
      <c r="AF40" s="383">
        <f t="shared" si="7"/>
        <v>0</v>
      </c>
      <c r="AG40" s="383">
        <f t="shared" si="7"/>
        <v>0</v>
      </c>
      <c r="AH40" s="383">
        <f t="shared" si="7"/>
        <v>0</v>
      </c>
      <c r="AI40" s="383">
        <f t="shared" si="7"/>
        <v>0</v>
      </c>
      <c r="AJ40" s="383">
        <f t="shared" si="7"/>
        <v>0</v>
      </c>
      <c r="AK40" s="383">
        <f t="shared" si="7"/>
        <v>0</v>
      </c>
      <c r="AL40" s="383">
        <f t="shared" si="7"/>
        <v>0</v>
      </c>
      <c r="AM40" s="383">
        <f t="shared" si="7"/>
        <v>0</v>
      </c>
      <c r="AN40" s="383">
        <f t="shared" si="7"/>
        <v>0</v>
      </c>
      <c r="AO40" s="383">
        <f t="shared" si="7"/>
        <v>0</v>
      </c>
      <c r="AP40" s="383">
        <f t="shared" si="7"/>
        <v>0</v>
      </c>
      <c r="AQ40" s="383">
        <f t="shared" si="7"/>
        <v>0</v>
      </c>
      <c r="AR40" s="383">
        <f t="shared" si="7"/>
        <v>0</v>
      </c>
      <c r="AS40" s="383">
        <f t="shared" ref="AS40:AU40" si="8">SUM(AS4:AS39)</f>
        <v>0</v>
      </c>
      <c r="AT40" s="384">
        <f t="shared" si="8"/>
        <v>0</v>
      </c>
      <c r="AU40" s="384">
        <f t="shared" si="8"/>
        <v>0</v>
      </c>
      <c r="AV40" s="384">
        <f t="shared" ref="AV40:AW40" si="9">SUM(AV4:AV39)</f>
        <v>0</v>
      </c>
      <c r="AW40" s="384">
        <f t="shared" si="9"/>
        <v>0</v>
      </c>
      <c r="AX40" s="384">
        <f t="shared" ref="AX40" si="10">SUM(AX4:AX39)</f>
        <v>0</v>
      </c>
      <c r="AY40" s="385">
        <f>SUM(AY4:AY39)</f>
        <v>0</v>
      </c>
      <c r="AZ40" s="386">
        <f>SUM(AZ4:AZ39)</f>
        <v>0</v>
      </c>
      <c r="BA40" s="386">
        <f>SUM(BA4:BA39)</f>
        <v>0</v>
      </c>
      <c r="BB40" s="386">
        <f>SUM(BB4:BB39)</f>
        <v>0</v>
      </c>
      <c r="BC40" s="386">
        <f t="shared" si="7"/>
        <v>0</v>
      </c>
      <c r="BD40" s="387">
        <f t="shared" si="7"/>
        <v>0</v>
      </c>
      <c r="BE40" s="388">
        <f t="shared" ref="BE40:BF40" si="11">SUM(BE4:BE39)</f>
        <v>0</v>
      </c>
      <c r="BF40" s="386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229" t="str">
        <f>H1</f>
        <v>Deposit        Date</v>
      </c>
      <c r="I41" s="230" t="str">
        <f>I1</f>
        <v>Other P&amp;L Receipts</v>
      </c>
      <c r="J41" s="231" t="str">
        <f>J1</f>
        <v>A/R Deposit Amount</v>
      </c>
      <c r="K41" s="232" t="str">
        <f>K1</f>
        <v>P&amp;L                                      Deposit Explanation</v>
      </c>
      <c r="L41" s="233" t="str">
        <f t="shared" ref="L41:M41" si="12">L1</f>
        <v>Balance Sheet Deposit</v>
      </c>
      <c r="M41" s="234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16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23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19" priority="6" operator="lessThan">
      <formula>0</formula>
    </cfRule>
  </conditionalFormatting>
  <conditionalFormatting sqref="D47:D48 E40:E45 F40 I40:J40">
    <cfRule type="cellIs" dxfId="18" priority="5" operator="lessThan">
      <formula>0</formula>
    </cfRule>
  </conditionalFormatting>
  <conditionalFormatting sqref="L3">
    <cfRule type="cellIs" dxfId="17" priority="3" operator="lessThan">
      <formula>0</formula>
    </cfRule>
  </conditionalFormatting>
  <conditionalFormatting sqref="L40">
    <cfRule type="cellIs" dxfId="16" priority="2" operator="lessThan">
      <formula>0</formula>
    </cfRule>
  </conditionalFormatting>
  <conditionalFormatting sqref="I3:J3">
    <cfRule type="cellIs" dxfId="15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10:F22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E28C-5C03-4E3F-8254-4FD07E30D93A}">
  <sheetPr codeName="Sheet25">
    <tabColor rgb="FF00B0F0"/>
  </sheetPr>
  <dimension ref="A1:BF63"/>
  <sheetViews>
    <sheetView zoomScale="120" zoomScaleNormal="120" workbookViewId="0">
      <pane xSplit="7" ySplit="3" topLeftCell="H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44835</v>
      </c>
      <c r="C3" s="429" t="s">
        <v>93</v>
      </c>
      <c r="D3" s="430"/>
      <c r="E3" s="430"/>
      <c r="F3" s="431"/>
      <c r="G3" s="306">
        <f>'09 - CDJ'!G39</f>
        <v>0</v>
      </c>
      <c r="H3" s="310">
        <v>45201</v>
      </c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69">
        <f>U40</f>
        <v>0</v>
      </c>
      <c r="V3" s="369">
        <f t="shared" ref="V3:BD3" si="1">V40</f>
        <v>0</v>
      </c>
      <c r="W3" s="369">
        <f t="shared" si="1"/>
        <v>0</v>
      </c>
      <c r="X3" s="369">
        <f t="shared" si="1"/>
        <v>0</v>
      </c>
      <c r="Y3" s="369">
        <f t="shared" si="1"/>
        <v>0</v>
      </c>
      <c r="Z3" s="369">
        <f t="shared" si="1"/>
        <v>0</v>
      </c>
      <c r="AA3" s="369">
        <f t="shared" si="1"/>
        <v>0</v>
      </c>
      <c r="AB3" s="369">
        <f t="shared" si="1"/>
        <v>0</v>
      </c>
      <c r="AC3" s="369">
        <f t="shared" si="1"/>
        <v>0</v>
      </c>
      <c r="AD3" s="369">
        <f>AD40</f>
        <v>0</v>
      </c>
      <c r="AE3" s="369">
        <f t="shared" si="1"/>
        <v>0</v>
      </c>
      <c r="AF3" s="369">
        <f t="shared" si="1"/>
        <v>0</v>
      </c>
      <c r="AG3" s="369">
        <f t="shared" si="1"/>
        <v>0</v>
      </c>
      <c r="AH3" s="369">
        <f t="shared" si="1"/>
        <v>0</v>
      </c>
      <c r="AI3" s="369">
        <f t="shared" si="1"/>
        <v>0</v>
      </c>
      <c r="AJ3" s="369">
        <f t="shared" si="1"/>
        <v>0</v>
      </c>
      <c r="AK3" s="369">
        <f t="shared" si="1"/>
        <v>0</v>
      </c>
      <c r="AL3" s="369">
        <f t="shared" si="1"/>
        <v>0</v>
      </c>
      <c r="AM3" s="369">
        <f t="shared" si="1"/>
        <v>0</v>
      </c>
      <c r="AN3" s="369">
        <f t="shared" si="1"/>
        <v>0</v>
      </c>
      <c r="AO3" s="369">
        <f t="shared" si="1"/>
        <v>0</v>
      </c>
      <c r="AP3" s="369">
        <f t="shared" si="1"/>
        <v>0</v>
      </c>
      <c r="AQ3" s="369">
        <f t="shared" si="1"/>
        <v>0</v>
      </c>
      <c r="AR3" s="369">
        <f t="shared" si="1"/>
        <v>0</v>
      </c>
      <c r="AS3" s="369">
        <f t="shared" si="1"/>
        <v>0</v>
      </c>
      <c r="AT3" s="370">
        <f t="shared" si="1"/>
        <v>0</v>
      </c>
      <c r="AU3" s="371">
        <f t="shared" si="1"/>
        <v>0</v>
      </c>
      <c r="AV3" s="369">
        <f t="shared" si="1"/>
        <v>0</v>
      </c>
      <c r="AW3" s="369">
        <f t="shared" si="1"/>
        <v>0</v>
      </c>
      <c r="AX3" s="369">
        <f t="shared" ref="AX3" si="2">AX40</f>
        <v>0</v>
      </c>
      <c r="AY3" s="372">
        <f>AY40</f>
        <v>0</v>
      </c>
      <c r="AZ3" s="373">
        <f>AZ40</f>
        <v>0</v>
      </c>
      <c r="BA3" s="373">
        <f>BA40</f>
        <v>0</v>
      </c>
      <c r="BB3" s="373">
        <f>BB40</f>
        <v>0</v>
      </c>
      <c r="BC3" s="373">
        <f t="shared" si="1"/>
        <v>0</v>
      </c>
      <c r="BD3" s="326">
        <f t="shared" si="1"/>
        <v>0</v>
      </c>
      <c r="BE3" s="374">
        <f t="shared" ref="BE3:BF3" si="3">BE40</f>
        <v>0</v>
      </c>
      <c r="BF3" s="373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270"/>
      <c r="O5" s="270"/>
      <c r="P5" s="270"/>
      <c r="Q5" s="270"/>
      <c r="R5" s="270"/>
      <c r="S5" s="270"/>
      <c r="T5" s="270"/>
      <c r="U5" s="270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0"/>
      <c r="AL5" s="270"/>
      <c r="AM5" s="270"/>
      <c r="AN5" s="270"/>
      <c r="AO5" s="270"/>
      <c r="AP5" s="270"/>
      <c r="AQ5" s="270"/>
      <c r="AR5" s="270"/>
      <c r="AS5" s="270"/>
      <c r="AT5" s="270"/>
      <c r="AU5" s="270"/>
      <c r="AV5" s="270"/>
      <c r="AW5" s="270"/>
      <c r="AX5" s="270"/>
      <c r="AY5" s="270"/>
      <c r="AZ5" s="270"/>
      <c r="BA5" s="270"/>
      <c r="BB5" s="270"/>
      <c r="BC5" s="270"/>
      <c r="BD5" s="270"/>
      <c r="BE5" s="270"/>
      <c r="BF5" s="270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270"/>
      <c r="AY6" s="270"/>
      <c r="AZ6" s="270"/>
      <c r="BA6" s="270"/>
      <c r="BB6" s="270"/>
      <c r="BC6" s="270"/>
      <c r="BD6" s="270"/>
      <c r="BE6" s="270"/>
      <c r="BF6" s="270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270"/>
      <c r="O8" s="270"/>
      <c r="P8" s="270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270"/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  <c r="AT9" s="270"/>
      <c r="AU9" s="270"/>
      <c r="AV9" s="270"/>
      <c r="AW9" s="270"/>
      <c r="AX9" s="270"/>
      <c r="AY9" s="270"/>
      <c r="AZ9" s="270"/>
      <c r="BA9" s="270"/>
      <c r="BB9" s="270"/>
      <c r="BC9" s="270"/>
      <c r="BD9" s="270"/>
      <c r="BE9" s="270"/>
      <c r="BF9" s="270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270"/>
      <c r="O10" s="270"/>
      <c r="P10" s="270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  <c r="AT10" s="270"/>
      <c r="AU10" s="270"/>
      <c r="AV10" s="270"/>
      <c r="AW10" s="270"/>
      <c r="AX10" s="270"/>
      <c r="AY10" s="270"/>
      <c r="AZ10" s="270"/>
      <c r="BA10" s="270"/>
      <c r="BB10" s="270"/>
      <c r="BC10" s="270"/>
      <c r="BD10" s="270"/>
      <c r="BE10" s="270"/>
      <c r="BF10" s="270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  <c r="AT12" s="270"/>
      <c r="AU12" s="270"/>
      <c r="AV12" s="270"/>
      <c r="AW12" s="270"/>
      <c r="AX12" s="270"/>
      <c r="AY12" s="270"/>
      <c r="AZ12" s="270"/>
      <c r="BA12" s="270"/>
      <c r="BB12" s="270"/>
      <c r="BC12" s="270"/>
      <c r="BD12" s="270"/>
      <c r="BE12" s="270"/>
      <c r="BF12" s="270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  <c r="AT13" s="270"/>
      <c r="AU13" s="270"/>
      <c r="AV13" s="270"/>
      <c r="AW13" s="270"/>
      <c r="AX13" s="270"/>
      <c r="AY13" s="270"/>
      <c r="AZ13" s="270"/>
      <c r="BA13" s="270"/>
      <c r="BB13" s="270"/>
      <c r="BC13" s="270"/>
      <c r="BD13" s="270"/>
      <c r="BE13" s="270"/>
      <c r="BF13" s="270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  <c r="AR15" s="270"/>
      <c r="AS15" s="270"/>
      <c r="AT15" s="270"/>
      <c r="AU15" s="270"/>
      <c r="AV15" s="270"/>
      <c r="AW15" s="270"/>
      <c r="AX15" s="270"/>
      <c r="AY15" s="270"/>
      <c r="AZ15" s="270"/>
      <c r="BA15" s="270"/>
      <c r="BB15" s="270"/>
      <c r="BC15" s="270"/>
      <c r="BD15" s="270"/>
      <c r="BE15" s="270"/>
      <c r="BF15" s="270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0"/>
      <c r="AR16" s="270"/>
      <c r="AS16" s="368"/>
      <c r="AT16" s="368"/>
      <c r="AU16" s="368"/>
      <c r="AV16" s="368"/>
      <c r="AW16" s="368"/>
      <c r="AX16" s="368"/>
      <c r="AY16" s="270"/>
      <c r="AZ16" s="270"/>
      <c r="BA16" s="270"/>
      <c r="BB16" s="270"/>
      <c r="BC16" s="270"/>
      <c r="BD16" s="270"/>
      <c r="BE16" s="270"/>
      <c r="BF16" s="270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0"/>
      <c r="AT18" s="270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  <c r="BF18" s="270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270"/>
      <c r="O19" s="270"/>
      <c r="P19" s="270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70"/>
      <c r="AB19" s="270"/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  <c r="AR19" s="270"/>
      <c r="AS19" s="270"/>
      <c r="AT19" s="270"/>
      <c r="AU19" s="270"/>
      <c r="AV19" s="270"/>
      <c r="AW19" s="270"/>
      <c r="AX19" s="270"/>
      <c r="AY19" s="270"/>
      <c r="AZ19" s="270"/>
      <c r="BA19" s="270"/>
      <c r="BB19" s="270"/>
      <c r="BC19" s="270"/>
      <c r="BD19" s="270"/>
      <c r="BE19" s="270"/>
      <c r="BF19" s="270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0"/>
      <c r="AU20" s="270"/>
      <c r="AV20" s="270"/>
      <c r="AW20" s="270"/>
      <c r="AX20" s="270"/>
      <c r="AY20" s="270"/>
      <c r="AZ20" s="270"/>
      <c r="BA20" s="270"/>
      <c r="BB20" s="270"/>
      <c r="BC20" s="270"/>
      <c r="BD20" s="270"/>
      <c r="BE20" s="270"/>
      <c r="BF20" s="270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270"/>
      <c r="AX21" s="270"/>
      <c r="AY21" s="270"/>
      <c r="AZ21" s="270"/>
      <c r="BA21" s="270"/>
      <c r="BB21" s="270"/>
      <c r="BC21" s="270"/>
      <c r="BD21" s="270"/>
      <c r="BE21" s="270"/>
      <c r="BF21" s="270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270"/>
      <c r="O23" s="270"/>
      <c r="P23" s="270"/>
      <c r="Q23" s="270"/>
      <c r="R23" s="270"/>
      <c r="S23" s="270"/>
      <c r="T23" s="270"/>
      <c r="U23" s="270"/>
      <c r="V23" s="270"/>
      <c r="W23" s="270"/>
      <c r="X23" s="270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0"/>
      <c r="AR23" s="270"/>
      <c r="AS23" s="270"/>
      <c r="AT23" s="270"/>
      <c r="AU23" s="270"/>
      <c r="AV23" s="270"/>
      <c r="AW23" s="270"/>
      <c r="AX23" s="270"/>
      <c r="AY23" s="270"/>
      <c r="AZ23" s="270"/>
      <c r="BA23" s="270"/>
      <c r="BB23" s="270"/>
      <c r="BC23" s="270"/>
      <c r="BD23" s="270"/>
      <c r="BE23" s="270"/>
      <c r="BF23" s="270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270"/>
      <c r="O24" s="270"/>
      <c r="P24" s="270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70"/>
      <c r="AB24" s="270"/>
      <c r="AC24" s="270"/>
      <c r="AD24" s="270"/>
      <c r="AE24" s="270"/>
      <c r="AF24" s="270"/>
      <c r="AG24" s="270"/>
      <c r="AH24" s="270"/>
      <c r="AI24" s="270"/>
      <c r="AJ24" s="270"/>
      <c r="AK24" s="270"/>
      <c r="AL24" s="270"/>
      <c r="AM24" s="270"/>
      <c r="AN24" s="270"/>
      <c r="AO24" s="270"/>
      <c r="AP24" s="270"/>
      <c r="AQ24" s="270"/>
      <c r="AR24" s="270"/>
      <c r="AS24" s="270"/>
      <c r="AT24" s="270"/>
      <c r="AU24" s="270"/>
      <c r="AV24" s="270"/>
      <c r="AW24" s="270"/>
      <c r="AX24" s="270"/>
      <c r="AY24" s="270"/>
      <c r="AZ24" s="270"/>
      <c r="BA24" s="270"/>
      <c r="BB24" s="270"/>
      <c r="BC24" s="270"/>
      <c r="BD24" s="270"/>
      <c r="BE24" s="270"/>
      <c r="BF24" s="270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270"/>
      <c r="O25" s="270"/>
      <c r="P25" s="270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0"/>
      <c r="AE25" s="270"/>
      <c r="AF25" s="270"/>
      <c r="AG25" s="270"/>
      <c r="AH25" s="270"/>
      <c r="AI25" s="270"/>
      <c r="AJ25" s="270"/>
      <c r="AK25" s="270"/>
      <c r="AL25" s="270"/>
      <c r="AM25" s="270"/>
      <c r="AN25" s="270"/>
      <c r="AO25" s="270"/>
      <c r="AP25" s="270"/>
      <c r="AQ25" s="270"/>
      <c r="AR25" s="270"/>
      <c r="AS25" s="270"/>
      <c r="AT25" s="270"/>
      <c r="AU25" s="270"/>
      <c r="AV25" s="270"/>
      <c r="AW25" s="270"/>
      <c r="AX25" s="270"/>
      <c r="AY25" s="270"/>
      <c r="AZ25" s="270"/>
      <c r="BA25" s="270"/>
      <c r="BB25" s="270"/>
      <c r="BC25" s="270"/>
      <c r="BD25" s="270"/>
      <c r="BE25" s="270"/>
      <c r="BF25" s="270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270"/>
      <c r="O26" s="270"/>
      <c r="P26" s="270"/>
      <c r="Q26" s="270"/>
      <c r="R26" s="270"/>
      <c r="S26" s="270"/>
      <c r="T26" s="270"/>
      <c r="U26" s="270"/>
      <c r="V26" s="270"/>
      <c r="W26" s="270"/>
      <c r="X26" s="270"/>
      <c r="Y26" s="270"/>
      <c r="Z26" s="270"/>
      <c r="AA26" s="270"/>
      <c r="AB26" s="270"/>
      <c r="AC26" s="270"/>
      <c r="AD26" s="270"/>
      <c r="AE26" s="270"/>
      <c r="AF26" s="270"/>
      <c r="AG26" s="270"/>
      <c r="AH26" s="270"/>
      <c r="AI26" s="270"/>
      <c r="AJ26" s="270"/>
      <c r="AK26" s="270"/>
      <c r="AL26" s="270"/>
      <c r="AM26" s="270"/>
      <c r="AN26" s="270"/>
      <c r="AO26" s="270"/>
      <c r="AP26" s="270"/>
      <c r="AQ26" s="270"/>
      <c r="AR26" s="270"/>
      <c r="AS26" s="270"/>
      <c r="AT26" s="270"/>
      <c r="AU26" s="270"/>
      <c r="AV26" s="270"/>
      <c r="AW26" s="270"/>
      <c r="AX26" s="270"/>
      <c r="AY26" s="270"/>
      <c r="AZ26" s="270"/>
      <c r="BA26" s="270"/>
      <c r="BB26" s="270"/>
      <c r="BC26" s="270"/>
      <c r="BD26" s="270"/>
      <c r="BE26" s="270"/>
      <c r="BF26" s="270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270"/>
      <c r="O27" s="270"/>
      <c r="P27" s="270"/>
      <c r="Q27" s="270"/>
      <c r="R27" s="270"/>
      <c r="S27" s="270"/>
      <c r="T27" s="270"/>
      <c r="U27" s="270"/>
      <c r="V27" s="270"/>
      <c r="W27" s="270"/>
      <c r="X27" s="270"/>
      <c r="Y27" s="270"/>
      <c r="Z27" s="270"/>
      <c r="AA27" s="270"/>
      <c r="AB27" s="270"/>
      <c r="AC27" s="270"/>
      <c r="AD27" s="270"/>
      <c r="AE27" s="270"/>
      <c r="AF27" s="270"/>
      <c r="AG27" s="270"/>
      <c r="AH27" s="270"/>
      <c r="AI27" s="270"/>
      <c r="AJ27" s="270"/>
      <c r="AK27" s="270"/>
      <c r="AL27" s="270"/>
      <c r="AM27" s="270"/>
      <c r="AN27" s="270"/>
      <c r="AO27" s="270"/>
      <c r="AP27" s="270"/>
      <c r="AQ27" s="270"/>
      <c r="AR27" s="270"/>
      <c r="AS27" s="270"/>
      <c r="AT27" s="270"/>
      <c r="AU27" s="270"/>
      <c r="AV27" s="270"/>
      <c r="AW27" s="270"/>
      <c r="AX27" s="270"/>
      <c r="AY27" s="270"/>
      <c r="AZ27" s="270"/>
      <c r="BA27" s="270"/>
      <c r="BB27" s="270"/>
      <c r="BC27" s="270"/>
      <c r="BD27" s="270"/>
      <c r="BE27" s="270"/>
      <c r="BF27" s="270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270"/>
      <c r="AK28" s="270"/>
      <c r="AL28" s="270"/>
      <c r="AM28" s="270"/>
      <c r="AN28" s="270"/>
      <c r="AO28" s="270"/>
      <c r="AP28" s="270"/>
      <c r="AQ28" s="270"/>
      <c r="AR28" s="270"/>
      <c r="AS28" s="270"/>
      <c r="AT28" s="270"/>
      <c r="AU28" s="270"/>
      <c r="AV28" s="270"/>
      <c r="AW28" s="270"/>
      <c r="AX28" s="270"/>
      <c r="AY28" s="270"/>
      <c r="AZ28" s="270"/>
      <c r="BA28" s="270"/>
      <c r="BB28" s="270"/>
      <c r="BC28" s="270"/>
      <c r="BD28" s="270"/>
      <c r="BE28" s="270"/>
      <c r="BF28" s="270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270"/>
      <c r="AK29" s="270"/>
      <c r="AL29" s="270"/>
      <c r="AM29" s="270"/>
      <c r="AN29" s="270"/>
      <c r="AO29" s="270"/>
      <c r="AP29" s="270"/>
      <c r="AQ29" s="270"/>
      <c r="AR29" s="270"/>
      <c r="AS29" s="270"/>
      <c r="AT29" s="270"/>
      <c r="AU29" s="270"/>
      <c r="AV29" s="270"/>
      <c r="AW29" s="270"/>
      <c r="AX29" s="270"/>
      <c r="AY29" s="270"/>
      <c r="AZ29" s="270"/>
      <c r="BA29" s="270"/>
      <c r="BB29" s="270"/>
      <c r="BC29" s="270"/>
      <c r="BD29" s="270"/>
      <c r="BE29" s="270"/>
      <c r="BF29" s="270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270"/>
      <c r="AK30" s="270"/>
      <c r="AL30" s="270"/>
      <c r="AM30" s="270"/>
      <c r="AN30" s="270"/>
      <c r="AO30" s="270"/>
      <c r="AP30" s="270"/>
      <c r="AQ30" s="270"/>
      <c r="AR30" s="270"/>
      <c r="AS30" s="270"/>
      <c r="AT30" s="270"/>
      <c r="AU30" s="270"/>
      <c r="AV30" s="270"/>
      <c r="AW30" s="270"/>
      <c r="AX30" s="270"/>
      <c r="AY30" s="270"/>
      <c r="AZ30" s="270"/>
      <c r="BA30" s="270"/>
      <c r="BB30" s="270"/>
      <c r="BC30" s="270"/>
      <c r="BD30" s="270"/>
      <c r="BE30" s="270"/>
      <c r="BF30" s="270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70"/>
      <c r="AK31" s="270"/>
      <c r="AL31" s="270"/>
      <c r="AM31" s="270"/>
      <c r="AN31" s="270"/>
      <c r="AO31" s="270"/>
      <c r="AP31" s="270"/>
      <c r="AQ31" s="270"/>
      <c r="AR31" s="270"/>
      <c r="AS31" s="270"/>
      <c r="AT31" s="270"/>
      <c r="AU31" s="270"/>
      <c r="AV31" s="270"/>
      <c r="AW31" s="270"/>
      <c r="AX31" s="270"/>
      <c r="AY31" s="270"/>
      <c r="AZ31" s="270"/>
      <c r="BA31" s="270"/>
      <c r="BB31" s="270"/>
      <c r="BC31" s="270"/>
      <c r="BD31" s="270"/>
      <c r="BE31" s="270"/>
      <c r="BF31" s="270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270"/>
      <c r="O32" s="270"/>
      <c r="P32" s="270"/>
      <c r="Q32" s="270"/>
      <c r="R32" s="270"/>
      <c r="S32" s="270"/>
      <c r="T32" s="270"/>
      <c r="U32" s="270"/>
      <c r="V32" s="270"/>
      <c r="W32" s="270"/>
      <c r="X32" s="270"/>
      <c r="Y32" s="270"/>
      <c r="Z32" s="270"/>
      <c r="AA32" s="270"/>
      <c r="AB32" s="270"/>
      <c r="AC32" s="270"/>
      <c r="AD32" s="270"/>
      <c r="AE32" s="270"/>
      <c r="AF32" s="270"/>
      <c r="AG32" s="270"/>
      <c r="AH32" s="270"/>
      <c r="AI32" s="270"/>
      <c r="AJ32" s="270"/>
      <c r="AK32" s="270"/>
      <c r="AL32" s="270"/>
      <c r="AM32" s="270"/>
      <c r="AN32" s="270"/>
      <c r="AO32" s="270"/>
      <c r="AP32" s="270"/>
      <c r="AQ32" s="270"/>
      <c r="AR32" s="270"/>
      <c r="AS32" s="270"/>
      <c r="AT32" s="270"/>
      <c r="AU32" s="270"/>
      <c r="AV32" s="270"/>
      <c r="AW32" s="270"/>
      <c r="AX32" s="270"/>
      <c r="AY32" s="270"/>
      <c r="AZ32" s="270"/>
      <c r="BA32" s="270"/>
      <c r="BB32" s="270"/>
      <c r="BC32" s="270"/>
      <c r="BD32" s="270"/>
      <c r="BE32" s="270"/>
      <c r="BF32" s="270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270"/>
      <c r="AK38" s="270"/>
      <c r="AL38" s="270"/>
      <c r="AM38" s="270"/>
      <c r="AN38" s="270"/>
      <c r="AO38" s="270"/>
      <c r="AP38" s="270"/>
      <c r="AQ38" s="270"/>
      <c r="AR38" s="270"/>
      <c r="AS38" s="270"/>
      <c r="AT38" s="270"/>
      <c r="AU38" s="270"/>
      <c r="AV38" s="270"/>
      <c r="AW38" s="270"/>
      <c r="AX38" s="270"/>
      <c r="AY38" s="270"/>
      <c r="AZ38" s="270"/>
      <c r="BA38" s="270"/>
      <c r="BB38" s="270"/>
      <c r="BC38" s="270"/>
      <c r="BD38" s="270"/>
      <c r="BE38" s="270"/>
      <c r="BF38" s="270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270"/>
      <c r="AK39" s="270"/>
      <c r="AL39" s="270"/>
      <c r="AM39" s="270"/>
      <c r="AN39" s="270"/>
      <c r="AO39" s="270"/>
      <c r="AP39" s="270"/>
      <c r="AQ39" s="270"/>
      <c r="AR39" s="270"/>
      <c r="AS39" s="270"/>
      <c r="AT39" s="270"/>
      <c r="AU39" s="270"/>
      <c r="AV39" s="270"/>
      <c r="AW39" s="270"/>
      <c r="AX39" s="270"/>
      <c r="AY39" s="270"/>
      <c r="AZ39" s="270"/>
      <c r="BA39" s="270"/>
      <c r="BB39" s="270"/>
      <c r="BC39" s="270"/>
      <c r="BD39" s="270"/>
      <c r="BE39" s="270"/>
      <c r="BF39" s="270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75">
        <f>SUM(U4:U39)</f>
        <v>0</v>
      </c>
      <c r="V40" s="375">
        <f t="shared" ref="V40:BD40" si="7">SUM(V4:V39)</f>
        <v>0</v>
      </c>
      <c r="W40" s="375">
        <f t="shared" si="7"/>
        <v>0</v>
      </c>
      <c r="X40" s="375">
        <f t="shared" si="7"/>
        <v>0</v>
      </c>
      <c r="Y40" s="375">
        <f t="shared" si="7"/>
        <v>0</v>
      </c>
      <c r="Z40" s="375">
        <f t="shared" si="7"/>
        <v>0</v>
      </c>
      <c r="AA40" s="375">
        <f t="shared" si="7"/>
        <v>0</v>
      </c>
      <c r="AB40" s="375">
        <f t="shared" si="7"/>
        <v>0</v>
      </c>
      <c r="AC40" s="375">
        <f t="shared" si="7"/>
        <v>0</v>
      </c>
      <c r="AD40" s="375">
        <f>SUM(AD4:AD39)</f>
        <v>0</v>
      </c>
      <c r="AE40" s="375">
        <f t="shared" si="7"/>
        <v>0</v>
      </c>
      <c r="AF40" s="375">
        <f t="shared" si="7"/>
        <v>0</v>
      </c>
      <c r="AG40" s="375">
        <f t="shared" si="7"/>
        <v>0</v>
      </c>
      <c r="AH40" s="375">
        <f t="shared" si="7"/>
        <v>0</v>
      </c>
      <c r="AI40" s="375">
        <f t="shared" si="7"/>
        <v>0</v>
      </c>
      <c r="AJ40" s="375">
        <f t="shared" si="7"/>
        <v>0</v>
      </c>
      <c r="AK40" s="375">
        <f t="shared" si="7"/>
        <v>0</v>
      </c>
      <c r="AL40" s="375">
        <f t="shared" si="7"/>
        <v>0</v>
      </c>
      <c r="AM40" s="375">
        <f t="shared" si="7"/>
        <v>0</v>
      </c>
      <c r="AN40" s="375">
        <f t="shared" si="7"/>
        <v>0</v>
      </c>
      <c r="AO40" s="375">
        <f t="shared" si="7"/>
        <v>0</v>
      </c>
      <c r="AP40" s="375">
        <f t="shared" si="7"/>
        <v>0</v>
      </c>
      <c r="AQ40" s="375">
        <f t="shared" si="7"/>
        <v>0</v>
      </c>
      <c r="AR40" s="375">
        <f t="shared" si="7"/>
        <v>0</v>
      </c>
      <c r="AS40" s="375">
        <f t="shared" ref="AS40:AU40" si="8">SUM(AS4:AS39)</f>
        <v>0</v>
      </c>
      <c r="AT40" s="376">
        <f t="shared" si="8"/>
        <v>0</v>
      </c>
      <c r="AU40" s="376">
        <f t="shared" si="8"/>
        <v>0</v>
      </c>
      <c r="AV40" s="376">
        <f t="shared" ref="AV40:AW40" si="9">SUM(AV4:AV39)</f>
        <v>0</v>
      </c>
      <c r="AW40" s="376">
        <f t="shared" si="9"/>
        <v>0</v>
      </c>
      <c r="AX40" s="376">
        <f t="shared" ref="AX40" si="10">SUM(AX4:AX39)</f>
        <v>0</v>
      </c>
      <c r="AY40" s="377">
        <f>SUM(AY4:AY39)</f>
        <v>0</v>
      </c>
      <c r="AZ40" s="378">
        <f>SUM(AZ4:AZ39)</f>
        <v>0</v>
      </c>
      <c r="BA40" s="378">
        <f>SUM(BA4:BA39)</f>
        <v>0</v>
      </c>
      <c r="BB40" s="378">
        <f>SUM(BB4:BB39)</f>
        <v>0</v>
      </c>
      <c r="BC40" s="378">
        <f t="shared" si="7"/>
        <v>0</v>
      </c>
      <c r="BD40" s="379">
        <f t="shared" si="7"/>
        <v>0</v>
      </c>
      <c r="BE40" s="380">
        <f t="shared" ref="BE40:BF40" si="11">SUM(BE4:BE39)</f>
        <v>0</v>
      </c>
      <c r="BF40" s="378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23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14" priority="6" operator="lessThan">
      <formula>0</formula>
    </cfRule>
  </conditionalFormatting>
  <conditionalFormatting sqref="D47:D48 E40:E45 F40 I40:J40">
    <cfRule type="cellIs" dxfId="13" priority="5" operator="lessThan">
      <formula>0</formula>
    </cfRule>
  </conditionalFormatting>
  <conditionalFormatting sqref="L3">
    <cfRule type="cellIs" dxfId="12" priority="3" operator="lessThan">
      <formula>0</formula>
    </cfRule>
  </conditionalFormatting>
  <conditionalFormatting sqref="L40">
    <cfRule type="cellIs" dxfId="11" priority="2" operator="lessThan">
      <formula>0</formula>
    </cfRule>
  </conditionalFormatting>
  <conditionalFormatting sqref="I3:J3">
    <cfRule type="cellIs" dxfId="10" priority="1" operator="lessThan">
      <formula>0</formula>
    </cfRule>
  </conditionalFormatting>
  <printOptions gridLines="1"/>
  <pageMargins left="1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9:F21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50F8-4930-45AA-88EC-A83DE7AE2775}">
  <sheetPr codeName="Sheet26">
    <tabColor rgb="FFFF0000"/>
  </sheetPr>
  <dimension ref="A1:BF63"/>
  <sheetViews>
    <sheetView zoomScale="120" zoomScaleNormal="120" workbookViewId="0">
      <pane xSplit="7" ySplit="3" topLeftCell="AJ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165" t="s">
        <v>121</v>
      </c>
      <c r="O2" s="165" t="s">
        <v>121</v>
      </c>
      <c r="P2" s="165" t="s">
        <v>121</v>
      </c>
      <c r="Q2" s="165" t="s">
        <v>121</v>
      </c>
      <c r="R2" s="165" t="s">
        <v>121</v>
      </c>
      <c r="S2" s="165" t="s">
        <v>121</v>
      </c>
      <c r="T2" s="165" t="s">
        <v>121</v>
      </c>
      <c r="U2" s="165" t="s">
        <v>121</v>
      </c>
      <c r="V2" s="165" t="s">
        <v>121</v>
      </c>
      <c r="W2" s="165" t="s">
        <v>121</v>
      </c>
      <c r="X2" s="165" t="s">
        <v>121</v>
      </c>
      <c r="Y2" s="165" t="s">
        <v>121</v>
      </c>
      <c r="Z2" s="165" t="s">
        <v>121</v>
      </c>
      <c r="AA2" s="165" t="s">
        <v>121</v>
      </c>
      <c r="AB2" s="165" t="s">
        <v>121</v>
      </c>
      <c r="AC2" s="165" t="s">
        <v>121</v>
      </c>
      <c r="AD2" s="165" t="s">
        <v>121</v>
      </c>
      <c r="AE2" s="165" t="s">
        <v>121</v>
      </c>
      <c r="AF2" s="165" t="s">
        <v>121</v>
      </c>
      <c r="AG2" s="165" t="s">
        <v>121</v>
      </c>
      <c r="AH2" s="165" t="s">
        <v>121</v>
      </c>
      <c r="AI2" s="165" t="s">
        <v>121</v>
      </c>
      <c r="AJ2" s="165" t="s">
        <v>121</v>
      </c>
      <c r="AK2" s="165" t="s">
        <v>121</v>
      </c>
      <c r="AL2" s="165" t="s">
        <v>121</v>
      </c>
      <c r="AM2" s="165" t="s">
        <v>121</v>
      </c>
      <c r="AN2" s="165" t="s">
        <v>121</v>
      </c>
      <c r="AO2" s="165" t="s">
        <v>121</v>
      </c>
      <c r="AP2" s="165" t="s">
        <v>121</v>
      </c>
      <c r="AQ2" s="165" t="s">
        <v>121</v>
      </c>
      <c r="AR2" s="165" t="s">
        <v>121</v>
      </c>
      <c r="AS2" s="165" t="s">
        <v>121</v>
      </c>
      <c r="AT2" s="165" t="s">
        <v>121</v>
      </c>
      <c r="AU2" s="165" t="s">
        <v>121</v>
      </c>
      <c r="AV2" s="165" t="s">
        <v>121</v>
      </c>
      <c r="AW2" s="165" t="s">
        <v>121</v>
      </c>
      <c r="AX2" s="165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44866</v>
      </c>
      <c r="C3" s="429" t="s">
        <v>93</v>
      </c>
      <c r="D3" s="430"/>
      <c r="E3" s="430"/>
      <c r="F3" s="431"/>
      <c r="G3" s="306">
        <f>'10 -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>-1*(E14-(SUM(O14:BD14)))</f>
        <v>0</v>
      </c>
      <c r="G14" s="309">
        <f>G13-E14+I14+J14+L14</f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>-1*(E15-(SUM(O15:BD15)))</f>
        <v>0</v>
      </c>
      <c r="G15" s="309">
        <f>G14-E15+I15+J15+L15</f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23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54"/>
      <c r="D49" s="454"/>
      <c r="E49" s="455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9" priority="6" operator="lessThan">
      <formula>0</formula>
    </cfRule>
  </conditionalFormatting>
  <conditionalFormatting sqref="D47:D48 E40:E45 F40 I40:J40">
    <cfRule type="cellIs" dxfId="8" priority="5" operator="lessThan">
      <formula>0</formula>
    </cfRule>
  </conditionalFormatting>
  <conditionalFormatting sqref="L3">
    <cfRule type="cellIs" dxfId="7" priority="3" operator="lessThan">
      <formula>0</formula>
    </cfRule>
  </conditionalFormatting>
  <conditionalFormatting sqref="L40">
    <cfRule type="cellIs" dxfId="6" priority="2" operator="lessThan">
      <formula>0</formula>
    </cfRule>
  </conditionalFormatting>
  <conditionalFormatting sqref="I3:J3">
    <cfRule type="cellIs" dxfId="5" priority="1" operator="lessThan">
      <formula>0</formula>
    </cfRule>
  </conditionalFormatting>
  <printOptions gridLines="1"/>
  <pageMargins left="0" right="0" top="0.35" bottom="0.1" header="0" footer="0"/>
  <pageSetup orientation="portrait" r:id="rId1"/>
  <headerFooter>
    <oddHeader>&amp;C&amp;F&amp;R&amp;D</oddHeader>
    <oddFooter>&amp;L&amp;8Page &amp;P of &amp;N&amp;R&amp;8&amp;Z&amp;F</oddFooter>
  </headerFooter>
  <ignoredErrors>
    <ignoredError sqref="F15:F20 F13 F23 F10" formulaRange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8D333-A5EF-4783-A5A5-A23D4C935BD8}">
  <sheetPr codeName="Sheet27">
    <tabColor rgb="FF00B0F0"/>
  </sheetPr>
  <dimension ref="A1:BF63"/>
  <sheetViews>
    <sheetView zoomScale="120" zoomScaleNormal="120" workbookViewId="0">
      <pane xSplit="7" ySplit="3" topLeftCell="H4" activePane="bottomRight" state="frozen"/>
      <selection activeCell="AS19" sqref="AS19"/>
      <selection pane="topRight" activeCell="AS19" sqref="AS19"/>
      <selection pane="bottomLeft" activeCell="AS19" sqref="AS19"/>
      <selection pane="bottomRight" activeCell="AS19" sqref="AS19"/>
    </sheetView>
  </sheetViews>
  <sheetFormatPr defaultRowHeight="15" x14ac:dyDescent="0.2"/>
  <cols>
    <col min="1" max="1" width="3.33203125" style="3" customWidth="1"/>
    <col min="2" max="2" width="6.6640625" style="71" bestFit="1" customWidth="1"/>
    <col min="3" max="3" width="16.33203125" style="241" customWidth="1"/>
    <col min="4" max="4" width="8.44140625" style="3" bestFit="1" customWidth="1"/>
    <col min="5" max="5" width="8.6640625" style="40" bestFit="1" customWidth="1"/>
    <col min="6" max="6" width="9" style="40" bestFit="1" customWidth="1"/>
    <col min="7" max="7" width="8" style="53" bestFit="1" customWidth="1"/>
    <col min="8" max="8" width="6.6640625" style="39" bestFit="1" customWidth="1"/>
    <col min="9" max="9" width="6.6640625" style="39" customWidth="1"/>
    <col min="10" max="10" width="8.33203125" style="40" customWidth="1"/>
    <col min="11" max="11" width="13" style="41" customWidth="1"/>
    <col min="12" max="12" width="8.33203125" style="41" customWidth="1"/>
    <col min="13" max="13" width="13" style="41" customWidth="1"/>
    <col min="14" max="20" width="6.77734375" style="40" customWidth="1"/>
    <col min="21" max="21" width="6.77734375" style="54" customWidth="1"/>
    <col min="22" max="32" width="6.77734375" style="40" customWidth="1"/>
    <col min="33" max="50" width="6.77734375" style="50" customWidth="1"/>
    <col min="51" max="51" width="6.77734375" style="40" customWidth="1"/>
    <col min="52" max="56" width="6.77734375" style="50" customWidth="1"/>
    <col min="57" max="16384" width="8.88671875" style="50"/>
  </cols>
  <sheetData>
    <row r="1" spans="1:58" s="162" customFormat="1" ht="24.95" customHeight="1" thickBot="1" x14ac:dyDescent="0.25">
      <c r="A1" s="159" t="s">
        <v>19</v>
      </c>
      <c r="B1" s="160" t="s">
        <v>0</v>
      </c>
      <c r="C1" s="160" t="s">
        <v>1</v>
      </c>
      <c r="D1" s="434" t="s">
        <v>4</v>
      </c>
      <c r="E1" s="436" t="s">
        <v>5</v>
      </c>
      <c r="F1" s="438" t="s">
        <v>38</v>
      </c>
      <c r="G1" s="440" t="s">
        <v>91</v>
      </c>
      <c r="H1" s="442" t="s">
        <v>92</v>
      </c>
      <c r="I1" s="446" t="s">
        <v>113</v>
      </c>
      <c r="J1" s="444" t="s">
        <v>90</v>
      </c>
      <c r="K1" s="432" t="s">
        <v>138</v>
      </c>
      <c r="L1" s="425" t="s">
        <v>114</v>
      </c>
      <c r="M1" s="427" t="s">
        <v>115</v>
      </c>
      <c r="N1" s="161" t="s">
        <v>139</v>
      </c>
      <c r="O1" s="161" t="s">
        <v>139</v>
      </c>
      <c r="P1" s="161" t="s">
        <v>139</v>
      </c>
      <c r="Q1" s="161" t="s">
        <v>139</v>
      </c>
      <c r="R1" s="161" t="s">
        <v>139</v>
      </c>
      <c r="S1" s="161" t="s">
        <v>139</v>
      </c>
      <c r="T1" s="161" t="s">
        <v>139</v>
      </c>
      <c r="U1" s="161" t="s">
        <v>139</v>
      </c>
      <c r="V1" s="161" t="s">
        <v>139</v>
      </c>
      <c r="W1" s="161" t="s">
        <v>139</v>
      </c>
      <c r="X1" s="161" t="s">
        <v>139</v>
      </c>
      <c r="Y1" s="161" t="s">
        <v>139</v>
      </c>
      <c r="Z1" s="161" t="s">
        <v>139</v>
      </c>
      <c r="AA1" s="161" t="s">
        <v>139</v>
      </c>
      <c r="AB1" s="161" t="s">
        <v>139</v>
      </c>
      <c r="AC1" s="161" t="s">
        <v>139</v>
      </c>
      <c r="AD1" s="161" t="s">
        <v>139</v>
      </c>
      <c r="AE1" s="161" t="s">
        <v>139</v>
      </c>
      <c r="AF1" s="161" t="s">
        <v>139</v>
      </c>
      <c r="AG1" s="161" t="s">
        <v>139</v>
      </c>
      <c r="AH1" s="161" t="s">
        <v>139</v>
      </c>
      <c r="AI1" s="161" t="s">
        <v>139</v>
      </c>
      <c r="AJ1" s="161" t="s">
        <v>139</v>
      </c>
      <c r="AK1" s="161" t="s">
        <v>139</v>
      </c>
      <c r="AL1" s="161" t="s">
        <v>139</v>
      </c>
      <c r="AM1" s="161" t="s">
        <v>139</v>
      </c>
      <c r="AN1" s="161" t="s">
        <v>139</v>
      </c>
      <c r="AO1" s="161" t="s">
        <v>139</v>
      </c>
      <c r="AP1" s="161" t="s">
        <v>139</v>
      </c>
      <c r="AQ1" s="161" t="s">
        <v>139</v>
      </c>
      <c r="AR1" s="161" t="s">
        <v>139</v>
      </c>
      <c r="AS1" s="161" t="s">
        <v>139</v>
      </c>
      <c r="AT1" s="161" t="s">
        <v>139</v>
      </c>
      <c r="AU1" s="161" t="s">
        <v>139</v>
      </c>
      <c r="AV1" s="161" t="s">
        <v>139</v>
      </c>
      <c r="AW1" s="161" t="s">
        <v>139</v>
      </c>
      <c r="AX1" s="161" t="s">
        <v>139</v>
      </c>
      <c r="AY1" s="259" t="s">
        <v>140</v>
      </c>
      <c r="AZ1" s="259" t="s">
        <v>140</v>
      </c>
      <c r="BA1" s="259" t="s">
        <v>140</v>
      </c>
      <c r="BB1" s="259" t="s">
        <v>140</v>
      </c>
      <c r="BC1" s="259" t="s">
        <v>140</v>
      </c>
      <c r="BD1" s="259" t="s">
        <v>140</v>
      </c>
      <c r="BE1" s="259" t="s">
        <v>140</v>
      </c>
      <c r="BF1" s="259" t="s">
        <v>140</v>
      </c>
    </row>
    <row r="2" spans="1:58" s="166" customFormat="1" ht="9.9499999999999993" customHeight="1" x14ac:dyDescent="0.2">
      <c r="A2" s="163"/>
      <c r="B2" s="164"/>
      <c r="C2" s="240"/>
      <c r="D2" s="435"/>
      <c r="E2" s="437"/>
      <c r="F2" s="439"/>
      <c r="G2" s="441"/>
      <c r="H2" s="443"/>
      <c r="I2" s="447"/>
      <c r="J2" s="445"/>
      <c r="K2" s="433"/>
      <c r="L2" s="426"/>
      <c r="M2" s="428"/>
      <c r="N2" s="221" t="s">
        <v>121</v>
      </c>
      <c r="O2" s="221" t="s">
        <v>121</v>
      </c>
      <c r="P2" s="221" t="s">
        <v>121</v>
      </c>
      <c r="Q2" s="221" t="s">
        <v>121</v>
      </c>
      <c r="R2" s="221" t="s">
        <v>121</v>
      </c>
      <c r="S2" s="221" t="s">
        <v>121</v>
      </c>
      <c r="T2" s="221" t="s">
        <v>121</v>
      </c>
      <c r="U2" s="221" t="s">
        <v>121</v>
      </c>
      <c r="V2" s="221" t="s">
        <v>121</v>
      </c>
      <c r="W2" s="221" t="s">
        <v>121</v>
      </c>
      <c r="X2" s="221" t="s">
        <v>121</v>
      </c>
      <c r="Y2" s="221" t="s">
        <v>121</v>
      </c>
      <c r="Z2" s="221" t="s">
        <v>121</v>
      </c>
      <c r="AA2" s="221" t="s">
        <v>121</v>
      </c>
      <c r="AB2" s="221" t="s">
        <v>121</v>
      </c>
      <c r="AC2" s="221" t="s">
        <v>121</v>
      </c>
      <c r="AD2" s="221" t="s">
        <v>121</v>
      </c>
      <c r="AE2" s="221" t="s">
        <v>121</v>
      </c>
      <c r="AF2" s="221" t="s">
        <v>121</v>
      </c>
      <c r="AG2" s="221" t="s">
        <v>121</v>
      </c>
      <c r="AH2" s="221" t="s">
        <v>121</v>
      </c>
      <c r="AI2" s="221" t="s">
        <v>121</v>
      </c>
      <c r="AJ2" s="221" t="s">
        <v>121</v>
      </c>
      <c r="AK2" s="221" t="s">
        <v>121</v>
      </c>
      <c r="AL2" s="221" t="s">
        <v>121</v>
      </c>
      <c r="AM2" s="221" t="s">
        <v>121</v>
      </c>
      <c r="AN2" s="221" t="s">
        <v>121</v>
      </c>
      <c r="AO2" s="221" t="s">
        <v>121</v>
      </c>
      <c r="AP2" s="221" t="s">
        <v>121</v>
      </c>
      <c r="AQ2" s="221" t="s">
        <v>121</v>
      </c>
      <c r="AR2" s="221" t="s">
        <v>121</v>
      </c>
      <c r="AS2" s="221" t="s">
        <v>121</v>
      </c>
      <c r="AT2" s="221" t="s">
        <v>121</v>
      </c>
      <c r="AU2" s="221" t="s">
        <v>121</v>
      </c>
      <c r="AV2" s="221" t="s">
        <v>121</v>
      </c>
      <c r="AW2" s="221" t="s">
        <v>121</v>
      </c>
      <c r="AX2" s="221" t="s">
        <v>121</v>
      </c>
      <c r="AY2" s="472" t="s">
        <v>121</v>
      </c>
      <c r="AZ2" s="472" t="s">
        <v>121</v>
      </c>
      <c r="BA2" s="472" t="s">
        <v>121</v>
      </c>
      <c r="BB2" s="472" t="s">
        <v>121</v>
      </c>
      <c r="BC2" s="472" t="s">
        <v>121</v>
      </c>
      <c r="BD2" s="472" t="s">
        <v>121</v>
      </c>
      <c r="BE2" s="472" t="s">
        <v>121</v>
      </c>
      <c r="BF2" s="472" t="s">
        <v>121</v>
      </c>
    </row>
    <row r="3" spans="1:58" s="1" customFormat="1" ht="9.9499999999999993" customHeight="1" x14ac:dyDescent="0.2">
      <c r="A3" s="167"/>
      <c r="B3" s="168">
        <v>44896</v>
      </c>
      <c r="C3" s="429" t="s">
        <v>93</v>
      </c>
      <c r="D3" s="430"/>
      <c r="E3" s="430"/>
      <c r="F3" s="431"/>
      <c r="G3" s="306">
        <f>'11 - CDJ'!G39</f>
        <v>0</v>
      </c>
      <c r="H3" s="310"/>
      <c r="I3" s="311">
        <f>SUM(I4:I39)</f>
        <v>0</v>
      </c>
      <c r="J3" s="311">
        <f>SUM(J4:J39)</f>
        <v>0</v>
      </c>
      <c r="K3" s="312"/>
      <c r="L3" s="313">
        <f>SUM(L4:L39)</f>
        <v>0</v>
      </c>
      <c r="M3" s="312"/>
      <c r="N3" s="314">
        <f t="shared" ref="N3:S3" si="0">N40</f>
        <v>0</v>
      </c>
      <c r="O3" s="315">
        <f t="shared" si="0"/>
        <v>0</v>
      </c>
      <c r="P3" s="315">
        <f t="shared" si="0"/>
        <v>0</v>
      </c>
      <c r="Q3" s="315">
        <f t="shared" si="0"/>
        <v>0</v>
      </c>
      <c r="R3" s="315">
        <f t="shared" si="0"/>
        <v>0</v>
      </c>
      <c r="S3" s="315">
        <f t="shared" si="0"/>
        <v>0</v>
      </c>
      <c r="T3" s="315">
        <f>T40</f>
        <v>0</v>
      </c>
      <c r="U3" s="315">
        <f>U40</f>
        <v>0</v>
      </c>
      <c r="V3" s="315">
        <f t="shared" ref="V3:BD3" si="1">V40</f>
        <v>0</v>
      </c>
      <c r="W3" s="315">
        <f t="shared" si="1"/>
        <v>0</v>
      </c>
      <c r="X3" s="315">
        <f t="shared" si="1"/>
        <v>0</v>
      </c>
      <c r="Y3" s="315">
        <f t="shared" si="1"/>
        <v>0</v>
      </c>
      <c r="Z3" s="315">
        <f t="shared" si="1"/>
        <v>0</v>
      </c>
      <c r="AA3" s="315">
        <f t="shared" si="1"/>
        <v>0</v>
      </c>
      <c r="AB3" s="315">
        <f t="shared" si="1"/>
        <v>0</v>
      </c>
      <c r="AC3" s="315">
        <f t="shared" si="1"/>
        <v>0</v>
      </c>
      <c r="AD3" s="315">
        <f>AD40</f>
        <v>0</v>
      </c>
      <c r="AE3" s="315">
        <f t="shared" si="1"/>
        <v>0</v>
      </c>
      <c r="AF3" s="315">
        <f t="shared" si="1"/>
        <v>0</v>
      </c>
      <c r="AG3" s="315">
        <f t="shared" si="1"/>
        <v>0</v>
      </c>
      <c r="AH3" s="315">
        <f t="shared" si="1"/>
        <v>0</v>
      </c>
      <c r="AI3" s="315">
        <f t="shared" si="1"/>
        <v>0</v>
      </c>
      <c r="AJ3" s="315">
        <f t="shared" si="1"/>
        <v>0</v>
      </c>
      <c r="AK3" s="315">
        <f t="shared" si="1"/>
        <v>0</v>
      </c>
      <c r="AL3" s="315">
        <f t="shared" si="1"/>
        <v>0</v>
      </c>
      <c r="AM3" s="315">
        <f t="shared" si="1"/>
        <v>0</v>
      </c>
      <c r="AN3" s="315">
        <f t="shared" si="1"/>
        <v>0</v>
      </c>
      <c r="AO3" s="315">
        <f t="shared" si="1"/>
        <v>0</v>
      </c>
      <c r="AP3" s="315">
        <f t="shared" si="1"/>
        <v>0</v>
      </c>
      <c r="AQ3" s="315">
        <f t="shared" si="1"/>
        <v>0</v>
      </c>
      <c r="AR3" s="315">
        <f t="shared" si="1"/>
        <v>0</v>
      </c>
      <c r="AS3" s="315">
        <f t="shared" si="1"/>
        <v>0</v>
      </c>
      <c r="AT3" s="316">
        <f t="shared" si="1"/>
        <v>0</v>
      </c>
      <c r="AU3" s="317">
        <f t="shared" si="1"/>
        <v>0</v>
      </c>
      <c r="AV3" s="315">
        <f t="shared" si="1"/>
        <v>0</v>
      </c>
      <c r="AW3" s="315">
        <f t="shared" si="1"/>
        <v>0</v>
      </c>
      <c r="AX3" s="315">
        <f t="shared" ref="AX3" si="2">AX40</f>
        <v>0</v>
      </c>
      <c r="AY3" s="318">
        <f>AY40</f>
        <v>0</v>
      </c>
      <c r="AZ3" s="319">
        <f>AZ40</f>
        <v>0</v>
      </c>
      <c r="BA3" s="319">
        <f>BA40</f>
        <v>0</v>
      </c>
      <c r="BB3" s="319">
        <f>BB40</f>
        <v>0</v>
      </c>
      <c r="BC3" s="319">
        <f t="shared" si="1"/>
        <v>0</v>
      </c>
      <c r="BD3" s="320">
        <f t="shared" si="1"/>
        <v>0</v>
      </c>
      <c r="BE3" s="321">
        <f t="shared" ref="BE3:BF3" si="3">BE40</f>
        <v>0</v>
      </c>
      <c r="BF3" s="319">
        <f t="shared" si="3"/>
        <v>0</v>
      </c>
    </row>
    <row r="4" spans="1:58" s="45" customFormat="1" ht="9.9499999999999993" customHeight="1" x14ac:dyDescent="0.2">
      <c r="A4" s="169">
        <v>1</v>
      </c>
      <c r="B4" s="91"/>
      <c r="C4" s="152"/>
      <c r="D4" s="90"/>
      <c r="E4" s="89"/>
      <c r="F4" s="170">
        <f t="shared" ref="F4:F40" si="4">-1*(E4-(SUM(O4:BD4)))</f>
        <v>0</v>
      </c>
      <c r="G4" s="309">
        <f>G3-E4+I4+J4+L4</f>
        <v>0</v>
      </c>
      <c r="H4" s="345"/>
      <c r="I4" s="346"/>
      <c r="J4" s="346"/>
      <c r="K4" s="347"/>
      <c r="L4" s="348"/>
      <c r="M4" s="349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</row>
    <row r="5" spans="1:58" s="45" customFormat="1" ht="9.9499999999999993" customHeight="1" x14ac:dyDescent="0.2">
      <c r="A5" s="169">
        <v>2</v>
      </c>
      <c r="B5" s="91"/>
      <c r="C5" s="152"/>
      <c r="D5" s="90"/>
      <c r="E5" s="89"/>
      <c r="F5" s="170">
        <f t="shared" si="4"/>
        <v>0</v>
      </c>
      <c r="G5" s="309">
        <f t="shared" ref="G5:G39" si="5">G4-E5+I5+J5+L5</f>
        <v>0</v>
      </c>
      <c r="H5" s="345"/>
      <c r="I5" s="346"/>
      <c r="J5" s="346"/>
      <c r="K5" s="347"/>
      <c r="L5" s="348"/>
      <c r="M5" s="349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</row>
    <row r="6" spans="1:58" s="45" customFormat="1" ht="9.9499999999999993" customHeight="1" x14ac:dyDescent="0.2">
      <c r="A6" s="169">
        <v>3</v>
      </c>
      <c r="B6" s="91"/>
      <c r="C6" s="152"/>
      <c r="D6" s="90"/>
      <c r="E6" s="89"/>
      <c r="F6" s="170">
        <f t="shared" si="4"/>
        <v>0</v>
      </c>
      <c r="G6" s="309">
        <f t="shared" si="5"/>
        <v>0</v>
      </c>
      <c r="H6" s="345"/>
      <c r="I6" s="346"/>
      <c r="J6" s="346"/>
      <c r="K6" s="347"/>
      <c r="L6" s="348"/>
      <c r="M6" s="349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</row>
    <row r="7" spans="1:58" s="45" customFormat="1" ht="9.9499999999999993" customHeight="1" x14ac:dyDescent="0.2">
      <c r="A7" s="169">
        <v>4</v>
      </c>
      <c r="B7" s="91"/>
      <c r="C7" s="152"/>
      <c r="D7" s="90"/>
      <c r="E7" s="89"/>
      <c r="F7" s="170">
        <f t="shared" si="4"/>
        <v>0</v>
      </c>
      <c r="G7" s="309">
        <f t="shared" si="5"/>
        <v>0</v>
      </c>
      <c r="H7" s="345"/>
      <c r="I7" s="346"/>
      <c r="J7" s="346"/>
      <c r="K7" s="347"/>
      <c r="L7" s="348"/>
      <c r="M7" s="349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</row>
    <row r="8" spans="1:58" s="45" customFormat="1" ht="9.9499999999999993" customHeight="1" x14ac:dyDescent="0.2">
      <c r="A8" s="169">
        <v>5</v>
      </c>
      <c r="B8" s="91"/>
      <c r="C8" s="152"/>
      <c r="D8" s="90"/>
      <c r="E8" s="89"/>
      <c r="F8" s="170">
        <f t="shared" si="4"/>
        <v>0</v>
      </c>
      <c r="G8" s="309">
        <f t="shared" si="5"/>
        <v>0</v>
      </c>
      <c r="H8" s="345"/>
      <c r="I8" s="346"/>
      <c r="J8" s="346"/>
      <c r="K8" s="347"/>
      <c r="L8" s="348"/>
      <c r="M8" s="349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</row>
    <row r="9" spans="1:58" s="45" customFormat="1" ht="9.9499999999999993" customHeight="1" x14ac:dyDescent="0.2">
      <c r="A9" s="169">
        <v>6</v>
      </c>
      <c r="B9" s="91"/>
      <c r="C9" s="152"/>
      <c r="D9" s="90"/>
      <c r="E9" s="89"/>
      <c r="F9" s="170">
        <f t="shared" si="4"/>
        <v>0</v>
      </c>
      <c r="G9" s="309">
        <f t="shared" si="5"/>
        <v>0</v>
      </c>
      <c r="H9" s="345"/>
      <c r="I9" s="346"/>
      <c r="J9" s="346"/>
      <c r="K9" s="357"/>
      <c r="L9" s="350"/>
      <c r="M9" s="351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</row>
    <row r="10" spans="1:58" s="45" customFormat="1" ht="9.9499999999999993" customHeight="1" x14ac:dyDescent="0.2">
      <c r="A10" s="169">
        <v>7</v>
      </c>
      <c r="B10" s="91"/>
      <c r="C10" s="152"/>
      <c r="D10" s="90"/>
      <c r="E10" s="89"/>
      <c r="F10" s="170">
        <f t="shared" si="4"/>
        <v>0</v>
      </c>
      <c r="G10" s="309">
        <f t="shared" si="5"/>
        <v>0</v>
      </c>
      <c r="H10" s="345"/>
      <c r="I10" s="346"/>
      <c r="J10" s="346"/>
      <c r="K10" s="347"/>
      <c r="L10" s="348"/>
      <c r="M10" s="34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</row>
    <row r="11" spans="1:58" s="45" customFormat="1" ht="9.9499999999999993" customHeight="1" x14ac:dyDescent="0.2">
      <c r="A11" s="169">
        <v>8</v>
      </c>
      <c r="B11" s="91"/>
      <c r="C11" s="152"/>
      <c r="D11" s="90"/>
      <c r="E11" s="89"/>
      <c r="F11" s="170">
        <f t="shared" si="4"/>
        <v>0</v>
      </c>
      <c r="G11" s="309">
        <f t="shared" si="5"/>
        <v>0</v>
      </c>
      <c r="H11" s="345"/>
      <c r="I11" s="346"/>
      <c r="J11" s="346"/>
      <c r="K11" s="347"/>
      <c r="L11" s="348"/>
      <c r="M11" s="34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</row>
    <row r="12" spans="1:58" s="45" customFormat="1" ht="9.9499999999999993" customHeight="1" x14ac:dyDescent="0.2">
      <c r="A12" s="169">
        <v>9</v>
      </c>
      <c r="B12" s="91"/>
      <c r="C12" s="152"/>
      <c r="D12" s="90"/>
      <c r="E12" s="89"/>
      <c r="F12" s="170">
        <f t="shared" si="4"/>
        <v>0</v>
      </c>
      <c r="G12" s="309">
        <f t="shared" si="5"/>
        <v>0</v>
      </c>
      <c r="H12" s="345"/>
      <c r="I12" s="346"/>
      <c r="J12" s="352"/>
      <c r="K12" s="347"/>
      <c r="L12" s="348"/>
      <c r="M12" s="349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</row>
    <row r="13" spans="1:58" s="45" customFormat="1" ht="9.9499999999999993" customHeight="1" x14ac:dyDescent="0.2">
      <c r="A13" s="169">
        <v>10</v>
      </c>
      <c r="B13" s="91"/>
      <c r="C13" s="152"/>
      <c r="D13" s="90"/>
      <c r="E13" s="89"/>
      <c r="F13" s="170">
        <f t="shared" si="4"/>
        <v>0</v>
      </c>
      <c r="G13" s="309">
        <f t="shared" si="5"/>
        <v>0</v>
      </c>
      <c r="H13" s="345"/>
      <c r="I13" s="346"/>
      <c r="J13" s="352"/>
      <c r="K13" s="347"/>
      <c r="L13" s="348"/>
      <c r="M13" s="349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</row>
    <row r="14" spans="1:58" s="45" customFormat="1" ht="9.9499999999999993" customHeight="1" x14ac:dyDescent="0.2">
      <c r="A14" s="169">
        <v>11</v>
      </c>
      <c r="B14" s="91"/>
      <c r="C14" s="152"/>
      <c r="D14" s="90"/>
      <c r="E14" s="89"/>
      <c r="F14" s="170">
        <f t="shared" si="4"/>
        <v>0</v>
      </c>
      <c r="G14" s="309">
        <f t="shared" si="5"/>
        <v>0</v>
      </c>
      <c r="H14" s="345"/>
      <c r="I14" s="346"/>
      <c r="J14" s="352"/>
      <c r="K14" s="347"/>
      <c r="L14" s="348"/>
      <c r="M14" s="349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</row>
    <row r="15" spans="1:58" s="45" customFormat="1" ht="9.9499999999999993" customHeight="1" x14ac:dyDescent="0.2">
      <c r="A15" s="169">
        <v>12</v>
      </c>
      <c r="B15" s="88"/>
      <c r="C15" s="152"/>
      <c r="D15" s="90"/>
      <c r="E15" s="89"/>
      <c r="F15" s="170">
        <f t="shared" si="4"/>
        <v>0</v>
      </c>
      <c r="G15" s="309">
        <f t="shared" si="5"/>
        <v>0</v>
      </c>
      <c r="H15" s="345"/>
      <c r="I15" s="346"/>
      <c r="J15" s="352"/>
      <c r="K15" s="347"/>
      <c r="L15" s="348"/>
      <c r="M15" s="349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</row>
    <row r="16" spans="1:58" s="45" customFormat="1" ht="9.9499999999999993" customHeight="1" x14ac:dyDescent="0.2">
      <c r="A16" s="169">
        <v>13</v>
      </c>
      <c r="B16" s="88"/>
      <c r="C16" s="152"/>
      <c r="D16" s="90"/>
      <c r="E16" s="89"/>
      <c r="F16" s="170">
        <f t="shared" si="4"/>
        <v>0</v>
      </c>
      <c r="G16" s="309">
        <f t="shared" si="5"/>
        <v>0</v>
      </c>
      <c r="H16" s="345"/>
      <c r="I16" s="346"/>
      <c r="J16" s="352"/>
      <c r="K16" s="347"/>
      <c r="L16" s="348"/>
      <c r="M16" s="349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57"/>
      <c r="AT16" s="157"/>
      <c r="AU16" s="157"/>
      <c r="AV16" s="157"/>
      <c r="AW16" s="157"/>
      <c r="AX16" s="157"/>
      <c r="AY16" s="76"/>
      <c r="AZ16" s="76"/>
      <c r="BA16" s="76"/>
      <c r="BB16" s="76"/>
      <c r="BC16" s="76"/>
      <c r="BD16" s="76"/>
      <c r="BE16" s="76"/>
      <c r="BF16" s="76"/>
    </row>
    <row r="17" spans="1:58" s="45" customFormat="1" ht="9.9499999999999993" customHeight="1" x14ac:dyDescent="0.2">
      <c r="A17" s="169">
        <v>14</v>
      </c>
      <c r="B17" s="88"/>
      <c r="C17" s="152"/>
      <c r="D17" s="90"/>
      <c r="E17" s="89"/>
      <c r="F17" s="170">
        <f t="shared" si="4"/>
        <v>0</v>
      </c>
      <c r="G17" s="309">
        <f t="shared" si="5"/>
        <v>0</v>
      </c>
      <c r="H17" s="345"/>
      <c r="I17" s="346"/>
      <c r="J17" s="352"/>
      <c r="K17" s="353"/>
      <c r="L17" s="354"/>
      <c r="M17" s="355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</row>
    <row r="18" spans="1:58" s="45" customFormat="1" ht="9.9499999999999993" customHeight="1" x14ac:dyDescent="0.2">
      <c r="A18" s="169">
        <v>15</v>
      </c>
      <c r="B18" s="91"/>
      <c r="C18" s="152"/>
      <c r="D18" s="90"/>
      <c r="E18" s="89"/>
      <c r="F18" s="170">
        <f t="shared" si="4"/>
        <v>0</v>
      </c>
      <c r="G18" s="309">
        <f t="shared" si="5"/>
        <v>0</v>
      </c>
      <c r="H18" s="345"/>
      <c r="I18" s="346"/>
      <c r="J18" s="352"/>
      <c r="K18" s="353"/>
      <c r="L18" s="354"/>
      <c r="M18" s="355"/>
      <c r="N18" s="76"/>
      <c r="O18" s="76"/>
      <c r="P18" s="58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</row>
    <row r="19" spans="1:58" s="45" customFormat="1" ht="9.9499999999999993" customHeight="1" x14ac:dyDescent="0.2">
      <c r="A19" s="169">
        <v>16</v>
      </c>
      <c r="B19" s="91"/>
      <c r="C19" s="152"/>
      <c r="D19" s="90"/>
      <c r="E19" s="89"/>
      <c r="F19" s="170">
        <f t="shared" si="4"/>
        <v>0</v>
      </c>
      <c r="G19" s="309">
        <f t="shared" si="5"/>
        <v>0</v>
      </c>
      <c r="H19" s="345"/>
      <c r="I19" s="346"/>
      <c r="J19" s="352"/>
      <c r="K19" s="347"/>
      <c r="L19" s="348"/>
      <c r="M19" s="349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</row>
    <row r="20" spans="1:58" s="45" customFormat="1" ht="9.9499999999999993" customHeight="1" x14ac:dyDescent="0.2">
      <c r="A20" s="169">
        <v>17</v>
      </c>
      <c r="B20" s="91"/>
      <c r="C20" s="152"/>
      <c r="D20" s="90"/>
      <c r="E20" s="89"/>
      <c r="F20" s="170">
        <f t="shared" si="4"/>
        <v>0</v>
      </c>
      <c r="G20" s="309">
        <f t="shared" si="5"/>
        <v>0</v>
      </c>
      <c r="H20" s="345"/>
      <c r="I20" s="346"/>
      <c r="J20" s="352"/>
      <c r="K20" s="347"/>
      <c r="L20" s="348"/>
      <c r="M20" s="349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</row>
    <row r="21" spans="1:58" s="45" customFormat="1" ht="9.9499999999999993" customHeight="1" x14ac:dyDescent="0.2">
      <c r="A21" s="169">
        <v>18</v>
      </c>
      <c r="B21" s="91"/>
      <c r="C21" s="152"/>
      <c r="D21" s="90"/>
      <c r="E21" s="89"/>
      <c r="F21" s="170">
        <f t="shared" si="4"/>
        <v>0</v>
      </c>
      <c r="G21" s="309">
        <f t="shared" si="5"/>
        <v>0</v>
      </c>
      <c r="H21" s="345"/>
      <c r="I21" s="346"/>
      <c r="J21" s="352"/>
      <c r="K21" s="347"/>
      <c r="L21" s="348"/>
      <c r="M21" s="349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</row>
    <row r="22" spans="1:58" s="45" customFormat="1" ht="9.9499999999999993" customHeight="1" x14ac:dyDescent="0.2">
      <c r="A22" s="169">
        <v>19</v>
      </c>
      <c r="B22" s="91"/>
      <c r="C22" s="152"/>
      <c r="D22" s="90"/>
      <c r="E22" s="89"/>
      <c r="F22" s="170">
        <f t="shared" si="4"/>
        <v>0</v>
      </c>
      <c r="G22" s="309">
        <f t="shared" si="5"/>
        <v>0</v>
      </c>
      <c r="H22" s="345"/>
      <c r="I22" s="346"/>
      <c r="J22" s="352"/>
      <c r="K22" s="347"/>
      <c r="L22" s="356"/>
      <c r="M22" s="349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</row>
    <row r="23" spans="1:58" s="45" customFormat="1" ht="9.9499999999999993" customHeight="1" x14ac:dyDescent="0.2">
      <c r="A23" s="169">
        <v>20</v>
      </c>
      <c r="B23" s="91"/>
      <c r="C23" s="152"/>
      <c r="D23" s="90"/>
      <c r="E23" s="89"/>
      <c r="F23" s="170">
        <f t="shared" si="4"/>
        <v>0</v>
      </c>
      <c r="G23" s="309">
        <f t="shared" si="5"/>
        <v>0</v>
      </c>
      <c r="H23" s="345"/>
      <c r="I23" s="346"/>
      <c r="J23" s="352"/>
      <c r="K23" s="347"/>
      <c r="L23" s="348"/>
      <c r="M23" s="349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</row>
    <row r="24" spans="1:58" s="45" customFormat="1" ht="9.9499999999999993" customHeight="1" x14ac:dyDescent="0.2">
      <c r="A24" s="169">
        <v>21</v>
      </c>
      <c r="B24" s="91"/>
      <c r="C24" s="152"/>
      <c r="D24" s="90"/>
      <c r="E24" s="89"/>
      <c r="F24" s="170">
        <f t="shared" si="4"/>
        <v>0</v>
      </c>
      <c r="G24" s="309">
        <f t="shared" si="5"/>
        <v>0</v>
      </c>
      <c r="H24" s="345"/>
      <c r="I24" s="346"/>
      <c r="J24" s="352"/>
      <c r="K24" s="347"/>
      <c r="L24" s="348"/>
      <c r="M24" s="349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45" customFormat="1" ht="9.9499999999999993" customHeight="1" x14ac:dyDescent="0.2">
      <c r="A25" s="169">
        <v>22</v>
      </c>
      <c r="B25" s="91"/>
      <c r="C25" s="152"/>
      <c r="D25" s="90"/>
      <c r="E25" s="89"/>
      <c r="F25" s="170">
        <f t="shared" si="4"/>
        <v>0</v>
      </c>
      <c r="G25" s="309">
        <f t="shared" si="5"/>
        <v>0</v>
      </c>
      <c r="H25" s="345"/>
      <c r="I25" s="346"/>
      <c r="J25" s="352"/>
      <c r="K25" s="347"/>
      <c r="L25" s="348"/>
      <c r="M25" s="349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</row>
    <row r="26" spans="1:58" s="45" customFormat="1" ht="9.9499999999999993" customHeight="1" x14ac:dyDescent="0.2">
      <c r="A26" s="169">
        <v>23</v>
      </c>
      <c r="B26" s="91"/>
      <c r="C26" s="152"/>
      <c r="D26" s="90"/>
      <c r="E26" s="89"/>
      <c r="F26" s="170">
        <f t="shared" si="4"/>
        <v>0</v>
      </c>
      <c r="G26" s="309">
        <f t="shared" si="5"/>
        <v>0</v>
      </c>
      <c r="H26" s="345"/>
      <c r="I26" s="346"/>
      <c r="J26" s="352"/>
      <c r="K26" s="347"/>
      <c r="L26" s="348"/>
      <c r="M26" s="349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</row>
    <row r="27" spans="1:58" s="45" customFormat="1" ht="9.9499999999999993" customHeight="1" x14ac:dyDescent="0.2">
      <c r="A27" s="169">
        <v>24</v>
      </c>
      <c r="B27" s="91"/>
      <c r="C27" s="152"/>
      <c r="D27" s="90"/>
      <c r="E27" s="89"/>
      <c r="F27" s="170">
        <f t="shared" si="4"/>
        <v>0</v>
      </c>
      <c r="G27" s="309">
        <f t="shared" si="5"/>
        <v>0</v>
      </c>
      <c r="H27" s="345"/>
      <c r="I27" s="346"/>
      <c r="J27" s="352"/>
      <c r="K27" s="347"/>
      <c r="L27" s="348"/>
      <c r="M27" s="349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</row>
    <row r="28" spans="1:58" s="45" customFormat="1" ht="9.9499999999999993" customHeight="1" x14ac:dyDescent="0.2">
      <c r="A28" s="169">
        <v>25</v>
      </c>
      <c r="B28" s="91"/>
      <c r="C28" s="152"/>
      <c r="D28" s="90"/>
      <c r="E28" s="89"/>
      <c r="F28" s="170">
        <f t="shared" si="4"/>
        <v>0</v>
      </c>
      <c r="G28" s="309">
        <f t="shared" si="5"/>
        <v>0</v>
      </c>
      <c r="H28" s="345"/>
      <c r="I28" s="346"/>
      <c r="J28" s="352"/>
      <c r="K28" s="353"/>
      <c r="L28" s="354"/>
      <c r="M28" s="355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</row>
    <row r="29" spans="1:58" s="45" customFormat="1" ht="9.9499999999999993" customHeight="1" x14ac:dyDescent="0.2">
      <c r="A29" s="169">
        <v>26</v>
      </c>
      <c r="B29" s="91"/>
      <c r="C29" s="153"/>
      <c r="D29" s="90"/>
      <c r="E29" s="89"/>
      <c r="F29" s="170">
        <f t="shared" si="4"/>
        <v>0</v>
      </c>
      <c r="G29" s="309">
        <f t="shared" si="5"/>
        <v>0</v>
      </c>
      <c r="H29" s="345"/>
      <c r="I29" s="346"/>
      <c r="J29" s="352"/>
      <c r="K29" s="353"/>
      <c r="L29" s="354"/>
      <c r="M29" s="355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</row>
    <row r="30" spans="1:58" s="45" customFormat="1" ht="9.9499999999999993" customHeight="1" x14ac:dyDescent="0.2">
      <c r="A30" s="169">
        <v>27</v>
      </c>
      <c r="B30" s="91"/>
      <c r="C30" s="152"/>
      <c r="D30" s="90"/>
      <c r="E30" s="89"/>
      <c r="F30" s="170">
        <f t="shared" si="4"/>
        <v>0</v>
      </c>
      <c r="G30" s="309">
        <f t="shared" si="5"/>
        <v>0</v>
      </c>
      <c r="H30" s="345"/>
      <c r="I30" s="346"/>
      <c r="J30" s="352"/>
      <c r="K30" s="347"/>
      <c r="L30" s="348"/>
      <c r="M30" s="349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</row>
    <row r="31" spans="1:58" s="45" customFormat="1" ht="9.9499999999999993" customHeight="1" x14ac:dyDescent="0.2">
      <c r="A31" s="169">
        <v>28</v>
      </c>
      <c r="B31" s="91"/>
      <c r="C31" s="152"/>
      <c r="D31" s="90"/>
      <c r="E31" s="89"/>
      <c r="F31" s="170">
        <f t="shared" si="4"/>
        <v>0</v>
      </c>
      <c r="G31" s="309">
        <f t="shared" si="5"/>
        <v>0</v>
      </c>
      <c r="H31" s="345"/>
      <c r="I31" s="346"/>
      <c r="J31" s="352"/>
      <c r="K31" s="347"/>
      <c r="L31" s="348"/>
      <c r="M31" s="349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</row>
    <row r="32" spans="1:58" s="45" customFormat="1" ht="9.9499999999999993" customHeight="1" x14ac:dyDescent="0.2">
      <c r="A32" s="169">
        <v>29</v>
      </c>
      <c r="B32" s="91"/>
      <c r="C32" s="152"/>
      <c r="D32" s="90"/>
      <c r="E32" s="89"/>
      <c r="F32" s="170">
        <f t="shared" si="4"/>
        <v>0</v>
      </c>
      <c r="G32" s="309">
        <f t="shared" si="5"/>
        <v>0</v>
      </c>
      <c r="H32" s="345"/>
      <c r="I32" s="346"/>
      <c r="J32" s="352"/>
      <c r="K32" s="347"/>
      <c r="L32" s="348"/>
      <c r="M32" s="349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</row>
    <row r="33" spans="1:58" s="45" customFormat="1" ht="9.9499999999999993" customHeight="1" x14ac:dyDescent="0.2">
      <c r="A33" s="169">
        <v>30</v>
      </c>
      <c r="B33" s="91"/>
      <c r="C33" s="152"/>
      <c r="D33" s="90"/>
      <c r="E33" s="89"/>
      <c r="F33" s="170">
        <f t="shared" si="4"/>
        <v>0</v>
      </c>
      <c r="G33" s="309">
        <f t="shared" si="5"/>
        <v>0</v>
      </c>
      <c r="H33" s="345"/>
      <c r="I33" s="346"/>
      <c r="J33" s="352"/>
      <c r="K33" s="347"/>
      <c r="L33" s="348"/>
      <c r="M33" s="349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</row>
    <row r="34" spans="1:58" s="45" customFormat="1" ht="9.9499999999999993" customHeight="1" x14ac:dyDescent="0.2">
      <c r="A34" s="169">
        <v>31</v>
      </c>
      <c r="B34" s="91"/>
      <c r="C34" s="152"/>
      <c r="D34" s="90"/>
      <c r="E34" s="89"/>
      <c r="F34" s="170">
        <f t="shared" si="4"/>
        <v>0</v>
      </c>
      <c r="G34" s="309">
        <f t="shared" si="5"/>
        <v>0</v>
      </c>
      <c r="H34" s="345"/>
      <c r="I34" s="346"/>
      <c r="J34" s="352"/>
      <c r="K34" s="347"/>
      <c r="L34" s="348"/>
      <c r="M34" s="349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</row>
    <row r="35" spans="1:58" s="45" customFormat="1" ht="9.9499999999999993" customHeight="1" x14ac:dyDescent="0.2">
      <c r="A35" s="169">
        <v>32</v>
      </c>
      <c r="B35" s="91"/>
      <c r="C35" s="152"/>
      <c r="D35" s="90"/>
      <c r="E35" s="89"/>
      <c r="F35" s="170">
        <f t="shared" si="4"/>
        <v>0</v>
      </c>
      <c r="G35" s="309">
        <f t="shared" si="5"/>
        <v>0</v>
      </c>
      <c r="H35" s="345"/>
      <c r="I35" s="346"/>
      <c r="J35" s="352"/>
      <c r="K35" s="347"/>
      <c r="L35" s="348"/>
      <c r="M35" s="349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</row>
    <row r="36" spans="1:58" s="45" customFormat="1" ht="9.9499999999999993" customHeight="1" x14ac:dyDescent="0.2">
      <c r="A36" s="169">
        <v>33</v>
      </c>
      <c r="B36" s="91"/>
      <c r="C36" s="154"/>
      <c r="D36" s="90"/>
      <c r="E36" s="89"/>
      <c r="F36" s="170">
        <f t="shared" si="4"/>
        <v>0</v>
      </c>
      <c r="G36" s="309">
        <f t="shared" si="5"/>
        <v>0</v>
      </c>
      <c r="H36" s="345"/>
      <c r="I36" s="346"/>
      <c r="J36" s="352"/>
      <c r="K36" s="347"/>
      <c r="L36" s="348"/>
      <c r="M36" s="349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</row>
    <row r="37" spans="1:58" s="45" customFormat="1" ht="9.9499999999999993" customHeight="1" x14ac:dyDescent="0.2">
      <c r="A37" s="169">
        <v>34</v>
      </c>
      <c r="B37" s="91"/>
      <c r="C37" s="154"/>
      <c r="D37" s="90"/>
      <c r="E37" s="89"/>
      <c r="F37" s="170">
        <f t="shared" si="4"/>
        <v>0</v>
      </c>
      <c r="G37" s="309">
        <f t="shared" si="5"/>
        <v>0</v>
      </c>
      <c r="H37" s="345"/>
      <c r="I37" s="346"/>
      <c r="J37" s="352"/>
      <c r="K37" s="347"/>
      <c r="L37" s="348"/>
      <c r="M37" s="349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</row>
    <row r="38" spans="1:58" s="45" customFormat="1" ht="9.9499999999999993" customHeight="1" x14ac:dyDescent="0.2">
      <c r="A38" s="169">
        <v>35</v>
      </c>
      <c r="B38" s="91"/>
      <c r="C38" s="152"/>
      <c r="D38" s="90"/>
      <c r="E38" s="89"/>
      <c r="F38" s="170">
        <f t="shared" si="4"/>
        <v>0</v>
      </c>
      <c r="G38" s="309">
        <f t="shared" si="5"/>
        <v>0</v>
      </c>
      <c r="H38" s="345"/>
      <c r="I38" s="346"/>
      <c r="J38" s="346"/>
      <c r="K38" s="347"/>
      <c r="L38" s="348"/>
      <c r="M38" s="349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</row>
    <row r="39" spans="1:58" s="45" customFormat="1" ht="9.9499999999999993" customHeight="1" thickBot="1" x14ac:dyDescent="0.25">
      <c r="A39" s="169">
        <v>36</v>
      </c>
      <c r="B39" s="92"/>
      <c r="C39" s="155"/>
      <c r="D39" s="93"/>
      <c r="E39" s="94"/>
      <c r="F39" s="170">
        <f t="shared" si="4"/>
        <v>0</v>
      </c>
      <c r="G39" s="309">
        <f t="shared" si="5"/>
        <v>0</v>
      </c>
      <c r="H39" s="345"/>
      <c r="I39" s="346"/>
      <c r="J39" s="346"/>
      <c r="K39" s="347"/>
      <c r="L39" s="348"/>
      <c r="M39" s="349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</row>
    <row r="40" spans="1:58" s="176" customFormat="1" ht="9.9499999999999993" customHeight="1" thickBot="1" x14ac:dyDescent="0.25">
      <c r="A40" s="171"/>
      <c r="B40" s="172"/>
      <c r="C40" s="414" t="s">
        <v>85</v>
      </c>
      <c r="D40" s="415"/>
      <c r="E40" s="173">
        <f>SUM(E4:E39)</f>
        <v>0</v>
      </c>
      <c r="F40" s="174">
        <f t="shared" si="4"/>
        <v>0</v>
      </c>
      <c r="G40" s="222"/>
      <c r="H40" s="327"/>
      <c r="I40" s="328">
        <f>SUM(I4:I39)</f>
        <v>0</v>
      </c>
      <c r="J40" s="328">
        <f>SUM(J4:J39)</f>
        <v>0</v>
      </c>
      <c r="K40" s="329"/>
      <c r="L40" s="330">
        <f t="shared" ref="L40:S40" si="6">SUM(L4:L39)</f>
        <v>0</v>
      </c>
      <c r="M40" s="331"/>
      <c r="N40" s="328">
        <f t="shared" si="6"/>
        <v>0</v>
      </c>
      <c r="O40" s="332">
        <f t="shared" si="6"/>
        <v>0</v>
      </c>
      <c r="P40" s="332">
        <f t="shared" si="6"/>
        <v>0</v>
      </c>
      <c r="Q40" s="332">
        <f t="shared" si="6"/>
        <v>0</v>
      </c>
      <c r="R40" s="332">
        <f t="shared" si="6"/>
        <v>0</v>
      </c>
      <c r="S40" s="332">
        <f t="shared" si="6"/>
        <v>0</v>
      </c>
      <c r="T40" s="332">
        <f>SUM(T4:T39)</f>
        <v>0</v>
      </c>
      <c r="U40" s="332">
        <f>SUM(U4:U39)</f>
        <v>0</v>
      </c>
      <c r="V40" s="332">
        <f t="shared" ref="V40:BD40" si="7">SUM(V4:V39)</f>
        <v>0</v>
      </c>
      <c r="W40" s="332">
        <f t="shared" si="7"/>
        <v>0</v>
      </c>
      <c r="X40" s="332">
        <f t="shared" si="7"/>
        <v>0</v>
      </c>
      <c r="Y40" s="332">
        <f t="shared" si="7"/>
        <v>0</v>
      </c>
      <c r="Z40" s="332">
        <f t="shared" si="7"/>
        <v>0</v>
      </c>
      <c r="AA40" s="332">
        <f t="shared" si="7"/>
        <v>0</v>
      </c>
      <c r="AB40" s="332">
        <f t="shared" si="7"/>
        <v>0</v>
      </c>
      <c r="AC40" s="332">
        <f t="shared" si="7"/>
        <v>0</v>
      </c>
      <c r="AD40" s="332">
        <f>SUM(AD4:AD39)</f>
        <v>0</v>
      </c>
      <c r="AE40" s="332">
        <f t="shared" si="7"/>
        <v>0</v>
      </c>
      <c r="AF40" s="332">
        <f t="shared" si="7"/>
        <v>0</v>
      </c>
      <c r="AG40" s="332">
        <f t="shared" si="7"/>
        <v>0</v>
      </c>
      <c r="AH40" s="332">
        <f t="shared" si="7"/>
        <v>0</v>
      </c>
      <c r="AI40" s="332">
        <f t="shared" si="7"/>
        <v>0</v>
      </c>
      <c r="AJ40" s="332">
        <f t="shared" si="7"/>
        <v>0</v>
      </c>
      <c r="AK40" s="332">
        <f t="shared" si="7"/>
        <v>0</v>
      </c>
      <c r="AL40" s="332">
        <f t="shared" si="7"/>
        <v>0</v>
      </c>
      <c r="AM40" s="332">
        <f t="shared" si="7"/>
        <v>0</v>
      </c>
      <c r="AN40" s="332">
        <f t="shared" si="7"/>
        <v>0</v>
      </c>
      <c r="AO40" s="332">
        <f t="shared" si="7"/>
        <v>0</v>
      </c>
      <c r="AP40" s="332">
        <f t="shared" si="7"/>
        <v>0</v>
      </c>
      <c r="AQ40" s="332">
        <f t="shared" si="7"/>
        <v>0</v>
      </c>
      <c r="AR40" s="332">
        <f t="shared" si="7"/>
        <v>0</v>
      </c>
      <c r="AS40" s="332">
        <f t="shared" ref="AS40:AU40" si="8">SUM(AS4:AS39)</f>
        <v>0</v>
      </c>
      <c r="AT40" s="333">
        <f t="shared" si="8"/>
        <v>0</v>
      </c>
      <c r="AU40" s="333">
        <f t="shared" si="8"/>
        <v>0</v>
      </c>
      <c r="AV40" s="333">
        <f t="shared" ref="AV40:AW40" si="9">SUM(AV4:AV39)</f>
        <v>0</v>
      </c>
      <c r="AW40" s="333">
        <f t="shared" si="9"/>
        <v>0</v>
      </c>
      <c r="AX40" s="333">
        <f t="shared" ref="AX40" si="10">SUM(AX4:AX39)</f>
        <v>0</v>
      </c>
      <c r="AY40" s="330">
        <f>SUM(AY4:AY39)</f>
        <v>0</v>
      </c>
      <c r="AZ40" s="334">
        <f>SUM(AZ4:AZ39)</f>
        <v>0</v>
      </c>
      <c r="BA40" s="334">
        <f>SUM(BA4:BA39)</f>
        <v>0</v>
      </c>
      <c r="BB40" s="334">
        <f>SUM(BB4:BB39)</f>
        <v>0</v>
      </c>
      <c r="BC40" s="334">
        <f t="shared" si="7"/>
        <v>0</v>
      </c>
      <c r="BD40" s="335">
        <f t="shared" si="7"/>
        <v>0</v>
      </c>
      <c r="BE40" s="336">
        <f t="shared" ref="BE40:BF40" si="11">SUM(BE4:BE39)</f>
        <v>0</v>
      </c>
      <c r="BF40" s="334">
        <f t="shared" si="11"/>
        <v>0</v>
      </c>
    </row>
    <row r="41" spans="1:58" ht="27.75" thickBot="1" x14ac:dyDescent="0.25">
      <c r="A41" s="177"/>
      <c r="B41" s="178"/>
      <c r="C41" s="416" t="s">
        <v>94</v>
      </c>
      <c r="D41" s="417"/>
      <c r="E41" s="179">
        <f>SUM(O40:BC40)</f>
        <v>0</v>
      </c>
      <c r="F41" s="180"/>
      <c r="G41" s="181" t="str">
        <f>G1</f>
        <v>Book         Balance</v>
      </c>
      <c r="H41" s="182" t="str">
        <f>H1</f>
        <v>Deposit        Date</v>
      </c>
      <c r="I41" s="183" t="str">
        <f>I1</f>
        <v>Other P&amp;L Receipts</v>
      </c>
      <c r="J41" s="184" t="str">
        <f>J1</f>
        <v>A/R Deposit Amount</v>
      </c>
      <c r="K41" s="185" t="str">
        <f>K1</f>
        <v>P&amp;L                                      Deposit Explanation</v>
      </c>
      <c r="L41" s="186" t="str">
        <f t="shared" ref="L41:M41" si="12">L1</f>
        <v>Balance Sheet Deposit</v>
      </c>
      <c r="M41" s="187" t="str">
        <f t="shared" si="12"/>
        <v>Balance Sheet Deposit Explanation</v>
      </c>
      <c r="N41" s="188" t="str">
        <f t="shared" ref="N41:BD41" si="13">N1</f>
        <v>G/L P&amp;L Acct Name</v>
      </c>
      <c r="O41" s="189" t="str">
        <f t="shared" si="13"/>
        <v>G/L P&amp;L Acct Name</v>
      </c>
      <c r="P41" s="189" t="str">
        <f t="shared" si="13"/>
        <v>G/L P&amp;L Acct Name</v>
      </c>
      <c r="Q41" s="189" t="str">
        <f t="shared" si="13"/>
        <v>G/L P&amp;L Acct Name</v>
      </c>
      <c r="R41" s="189" t="str">
        <f t="shared" si="13"/>
        <v>G/L P&amp;L Acct Name</v>
      </c>
      <c r="S41" s="189" t="str">
        <f t="shared" si="13"/>
        <v>G/L P&amp;L Acct Name</v>
      </c>
      <c r="T41" s="189" t="str">
        <f t="shared" si="13"/>
        <v>G/L P&amp;L Acct Name</v>
      </c>
      <c r="U41" s="189" t="str">
        <f>U1</f>
        <v>G/L P&amp;L Acct Name</v>
      </c>
      <c r="V41" s="189" t="str">
        <f t="shared" si="13"/>
        <v>G/L P&amp;L Acct Name</v>
      </c>
      <c r="W41" s="189" t="str">
        <f t="shared" si="13"/>
        <v>G/L P&amp;L Acct Name</v>
      </c>
      <c r="X41" s="189" t="str">
        <f t="shared" si="13"/>
        <v>G/L P&amp;L Acct Name</v>
      </c>
      <c r="Y41" s="189" t="str">
        <f t="shared" si="13"/>
        <v>G/L P&amp;L Acct Name</v>
      </c>
      <c r="Z41" s="189" t="str">
        <f t="shared" si="13"/>
        <v>G/L P&amp;L Acct Name</v>
      </c>
      <c r="AA41" s="189" t="str">
        <f t="shared" si="13"/>
        <v>G/L P&amp;L Acct Name</v>
      </c>
      <c r="AB41" s="189" t="str">
        <f t="shared" si="13"/>
        <v>G/L P&amp;L Acct Name</v>
      </c>
      <c r="AC41" s="189" t="str">
        <f t="shared" si="13"/>
        <v>G/L P&amp;L Acct Name</v>
      </c>
      <c r="AD41" s="189" t="str">
        <f t="shared" si="13"/>
        <v>G/L P&amp;L Acct Name</v>
      </c>
      <c r="AE41" s="189" t="str">
        <f t="shared" si="13"/>
        <v>G/L P&amp;L Acct Name</v>
      </c>
      <c r="AF41" s="189" t="str">
        <f t="shared" si="13"/>
        <v>G/L P&amp;L Acct Name</v>
      </c>
      <c r="AG41" s="189" t="str">
        <f t="shared" si="13"/>
        <v>G/L P&amp;L Acct Name</v>
      </c>
      <c r="AH41" s="189" t="str">
        <f t="shared" si="13"/>
        <v>G/L P&amp;L Acct Name</v>
      </c>
      <c r="AI41" s="190" t="str">
        <f t="shared" si="13"/>
        <v>G/L P&amp;L Acct Name</v>
      </c>
      <c r="AJ41" s="190" t="str">
        <f t="shared" si="13"/>
        <v>G/L P&amp;L Acct Name</v>
      </c>
      <c r="AK41" s="190" t="str">
        <f t="shared" si="13"/>
        <v>G/L P&amp;L Acct Name</v>
      </c>
      <c r="AL41" s="190" t="str">
        <f t="shared" si="13"/>
        <v>G/L P&amp;L Acct Name</v>
      </c>
      <c r="AM41" s="190" t="str">
        <f t="shared" si="13"/>
        <v>G/L P&amp;L Acct Name</v>
      </c>
      <c r="AN41" s="190" t="str">
        <f t="shared" si="13"/>
        <v>G/L P&amp;L Acct Name</v>
      </c>
      <c r="AO41" s="190" t="str">
        <f t="shared" si="13"/>
        <v>G/L P&amp;L Acct Name</v>
      </c>
      <c r="AP41" s="190" t="str">
        <f t="shared" si="13"/>
        <v>G/L P&amp;L Acct Name</v>
      </c>
      <c r="AQ41" s="190" t="str">
        <f t="shared" si="13"/>
        <v>G/L P&amp;L Acct Name</v>
      </c>
      <c r="AR41" s="190" t="str">
        <f t="shared" si="13"/>
        <v>G/L P&amp;L Acct Name</v>
      </c>
      <c r="AS41" s="190" t="str">
        <f t="shared" ref="AS41:AU41" si="14">AS1</f>
        <v>G/L P&amp;L Acct Name</v>
      </c>
      <c r="AT41" s="191" t="str">
        <f t="shared" si="14"/>
        <v>G/L P&amp;L Acct Name</v>
      </c>
      <c r="AU41" s="191" t="str">
        <f t="shared" si="14"/>
        <v>G/L P&amp;L Acct Name</v>
      </c>
      <c r="AV41" s="191" t="str">
        <f t="shared" ref="AV41:AW41" si="15">AV1</f>
        <v>G/L P&amp;L Acct Name</v>
      </c>
      <c r="AW41" s="191" t="str">
        <f t="shared" si="15"/>
        <v>G/L P&amp;L Acct Name</v>
      </c>
      <c r="AX41" s="191" t="str">
        <f t="shared" ref="AX41" si="16">AX1</f>
        <v>G/L P&amp;L Acct Name</v>
      </c>
      <c r="AY41" s="192" t="str">
        <f>AY1</f>
        <v>G/L Balance Sheet Name</v>
      </c>
      <c r="AZ41" s="193" t="str">
        <f>AZ1</f>
        <v>G/L Balance Sheet Name</v>
      </c>
      <c r="BA41" s="193" t="str">
        <f>BA1</f>
        <v>G/L Balance Sheet Name</v>
      </c>
      <c r="BB41" s="193" t="str">
        <f>BB1</f>
        <v>G/L Balance Sheet Name</v>
      </c>
      <c r="BC41" s="193" t="str">
        <f t="shared" si="13"/>
        <v>G/L Balance Sheet Name</v>
      </c>
      <c r="BD41" s="194" t="str">
        <f t="shared" si="13"/>
        <v>G/L Balance Sheet Name</v>
      </c>
      <c r="BE41" s="262" t="str">
        <f t="shared" ref="BE41:BF41" si="17">BE1</f>
        <v>G/L Balance Sheet Name</v>
      </c>
      <c r="BF41" s="267" t="str">
        <f t="shared" si="17"/>
        <v>G/L Balance Sheet Name</v>
      </c>
    </row>
    <row r="42" spans="1:58" ht="12" thickBot="1" x14ac:dyDescent="0.25">
      <c r="A42" s="177"/>
      <c r="B42" s="178"/>
      <c r="C42" s="412" t="s">
        <v>18</v>
      </c>
      <c r="D42" s="413"/>
      <c r="E42" s="195">
        <f>E40-E41</f>
        <v>0</v>
      </c>
      <c r="F42" s="196"/>
      <c r="G42" s="197"/>
      <c r="H42" s="198"/>
      <c r="I42" s="198"/>
      <c r="J42" s="199"/>
      <c r="K42" s="200"/>
      <c r="L42" s="200"/>
      <c r="M42" s="200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199"/>
      <c r="AZ42" s="201"/>
      <c r="BA42" s="201"/>
      <c r="BB42" s="201"/>
      <c r="BC42" s="201"/>
      <c r="BD42" s="201"/>
      <c r="BE42" s="263"/>
      <c r="BF42" s="49"/>
    </row>
    <row r="43" spans="1:58" ht="11.25" x14ac:dyDescent="0.2">
      <c r="A43" s="177"/>
      <c r="B43" s="178"/>
      <c r="C43" s="421" t="s">
        <v>117</v>
      </c>
      <c r="D43" s="422"/>
      <c r="E43" s="202">
        <f>SUM(O40:AX40)</f>
        <v>0</v>
      </c>
      <c r="F43" s="203"/>
      <c r="G43" s="204"/>
      <c r="H43" s="205"/>
      <c r="I43" s="205"/>
      <c r="J43" s="206"/>
      <c r="K43" s="35"/>
      <c r="L43" s="35"/>
      <c r="M43" s="3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7"/>
      <c r="AK43" s="207"/>
      <c r="AL43" s="207"/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07"/>
      <c r="AX43" s="207"/>
      <c r="AY43" s="206"/>
      <c r="AZ43" s="207"/>
      <c r="BA43" s="207"/>
      <c r="BB43" s="207"/>
      <c r="BC43" s="207"/>
      <c r="BD43" s="207"/>
      <c r="BE43" s="264"/>
      <c r="BF43" s="49"/>
    </row>
    <row r="44" spans="1:58" ht="11.25" x14ac:dyDescent="0.2">
      <c r="A44" s="177"/>
      <c r="B44" s="178"/>
      <c r="C44" s="423" t="s">
        <v>116</v>
      </c>
      <c r="D44" s="424"/>
      <c r="E44" s="208">
        <f>SUM(AY40:BF40)</f>
        <v>0</v>
      </c>
      <c r="F44" s="203"/>
      <c r="G44" s="204"/>
      <c r="H44" s="205"/>
      <c r="I44" s="205"/>
      <c r="J44" s="206"/>
      <c r="K44" s="35"/>
      <c r="L44" s="35"/>
      <c r="M44" s="3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7"/>
      <c r="AK44" s="207"/>
      <c r="AL44" s="207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07"/>
      <c r="AX44" s="207"/>
      <c r="AY44" s="206"/>
      <c r="AZ44" s="207"/>
      <c r="BA44" s="207"/>
      <c r="BB44" s="207"/>
      <c r="BC44" s="207"/>
      <c r="BD44" s="207"/>
      <c r="BE44" s="264"/>
      <c r="BF44" s="49"/>
    </row>
    <row r="45" spans="1:58" ht="12" thickBot="1" x14ac:dyDescent="0.25">
      <c r="A45" s="209"/>
      <c r="B45" s="210"/>
      <c r="C45" s="412" t="s">
        <v>86</v>
      </c>
      <c r="D45" s="413"/>
      <c r="E45" s="195">
        <f>E40-E43-E44</f>
        <v>0</v>
      </c>
      <c r="F45" s="203"/>
      <c r="G45" s="204"/>
      <c r="H45" s="205"/>
      <c r="I45" s="205"/>
      <c r="J45" s="206"/>
      <c r="K45" s="35"/>
      <c r="L45" s="35"/>
      <c r="M45" s="3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7"/>
      <c r="AK45" s="207"/>
      <c r="AL45" s="207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07"/>
      <c r="AX45" s="207"/>
      <c r="AY45" s="206"/>
      <c r="AZ45" s="207"/>
      <c r="BA45" s="207"/>
      <c r="BB45" s="207"/>
      <c r="BC45" s="207"/>
      <c r="BD45" s="207"/>
      <c r="BE45" s="264"/>
      <c r="BF45" s="49"/>
    </row>
    <row r="46" spans="1:58" s="51" customFormat="1" ht="9.9499999999999993" customHeight="1" x14ac:dyDescent="0.2">
      <c r="A46" s="418" t="s">
        <v>21</v>
      </c>
      <c r="B46" s="419"/>
      <c r="C46" s="419"/>
      <c r="D46" s="419"/>
      <c r="E46" s="420"/>
      <c r="F46" s="211"/>
      <c r="G46" s="212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65"/>
      <c r="BF46" s="213"/>
    </row>
    <row r="47" spans="1:58" ht="9.9499999999999993" customHeight="1" x14ac:dyDescent="0.2">
      <c r="A47" s="214"/>
      <c r="B47" s="417" t="s">
        <v>89</v>
      </c>
      <c r="C47" s="417"/>
      <c r="D47" s="250"/>
      <c r="E47" s="255" t="s">
        <v>134</v>
      </c>
      <c r="F47" s="215"/>
      <c r="G47" s="204"/>
      <c r="H47" s="205"/>
      <c r="I47" s="205"/>
      <c r="J47" s="206"/>
      <c r="K47" s="35"/>
      <c r="L47" s="35"/>
      <c r="M47" s="35"/>
      <c r="N47" s="206"/>
      <c r="O47" s="206"/>
      <c r="P47" s="206"/>
      <c r="Q47" s="206"/>
      <c r="R47" s="206"/>
      <c r="S47" s="206"/>
      <c r="T47" s="206"/>
      <c r="U47" s="21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7"/>
      <c r="AH47" s="207"/>
      <c r="AI47" s="207"/>
      <c r="AJ47" s="207"/>
      <c r="AK47" s="207"/>
      <c r="AL47" s="207"/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07"/>
      <c r="AX47" s="207"/>
      <c r="AY47" s="206"/>
      <c r="AZ47" s="207"/>
      <c r="BA47" s="207"/>
      <c r="BB47" s="207"/>
      <c r="BC47" s="207"/>
      <c r="BD47" s="207"/>
      <c r="BE47" s="264"/>
      <c r="BF47" s="49"/>
    </row>
    <row r="48" spans="1:58" ht="9.9499999999999993" customHeight="1" x14ac:dyDescent="0.2">
      <c r="A48" s="214"/>
      <c r="B48" s="417" t="s">
        <v>88</v>
      </c>
      <c r="C48" s="417"/>
      <c r="D48" s="223">
        <f>D47-I40-J40-L40</f>
        <v>0</v>
      </c>
      <c r="E48" s="218" t="s">
        <v>41</v>
      </c>
      <c r="F48" s="215"/>
      <c r="G48" s="204"/>
      <c r="H48" s="205"/>
      <c r="I48" s="205"/>
      <c r="J48" s="206"/>
      <c r="K48" s="35"/>
      <c r="L48" s="35"/>
      <c r="M48" s="35"/>
      <c r="N48" s="206"/>
      <c r="O48" s="206"/>
      <c r="P48" s="206"/>
      <c r="Q48" s="206"/>
      <c r="R48" s="206"/>
      <c r="S48" s="206"/>
      <c r="T48" s="206"/>
      <c r="U48" s="21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7"/>
      <c r="AH48" s="207"/>
      <c r="AI48" s="207"/>
      <c r="AJ48" s="207"/>
      <c r="AK48" s="207"/>
      <c r="AL48" s="207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07"/>
      <c r="AX48" s="207"/>
      <c r="AY48" s="206"/>
      <c r="AZ48" s="207"/>
      <c r="BA48" s="207"/>
      <c r="BB48" s="207"/>
      <c r="BC48" s="207"/>
      <c r="BD48" s="207"/>
      <c r="BE48" s="264"/>
      <c r="BF48" s="49"/>
    </row>
    <row r="49" spans="1:58" ht="9.9499999999999993" customHeight="1" thickBot="1" x14ac:dyDescent="0.25">
      <c r="A49" s="408" t="s">
        <v>87</v>
      </c>
      <c r="B49" s="409"/>
      <c r="C49" s="410"/>
      <c r="D49" s="410"/>
      <c r="E49" s="411"/>
      <c r="F49" s="219"/>
      <c r="G49" s="36"/>
      <c r="H49" s="34"/>
      <c r="I49" s="34"/>
      <c r="J49" s="38"/>
      <c r="K49" s="35"/>
      <c r="L49" s="35"/>
      <c r="M49" s="35"/>
      <c r="N49" s="38"/>
      <c r="O49" s="38"/>
      <c r="P49" s="38"/>
      <c r="Q49" s="38"/>
      <c r="R49" s="38"/>
      <c r="S49" s="38"/>
      <c r="T49" s="38"/>
      <c r="U49" s="52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8"/>
      <c r="AZ49" s="49"/>
      <c r="BA49" s="49"/>
      <c r="BB49" s="49"/>
      <c r="BC49" s="49"/>
      <c r="BD49" s="49"/>
      <c r="BE49" s="266"/>
      <c r="BF49" s="49"/>
    </row>
    <row r="50" spans="1:58" x14ac:dyDescent="0.2">
      <c r="P50" s="220"/>
    </row>
    <row r="52" spans="1:58" x14ac:dyDescent="0.2">
      <c r="C52" s="242"/>
      <c r="D52" s="4"/>
    </row>
    <row r="53" spans="1:58" x14ac:dyDescent="0.2">
      <c r="C53" s="242"/>
      <c r="D53" s="4"/>
    </row>
    <row r="54" spans="1:58" x14ac:dyDescent="0.2">
      <c r="C54" s="242"/>
      <c r="D54" s="4"/>
    </row>
    <row r="55" spans="1:58" x14ac:dyDescent="0.2">
      <c r="C55" s="242"/>
      <c r="D55" s="4"/>
    </row>
    <row r="56" spans="1:58" x14ac:dyDescent="0.2">
      <c r="C56" s="242"/>
      <c r="D56" s="4"/>
    </row>
    <row r="57" spans="1:58" x14ac:dyDescent="0.2">
      <c r="C57" s="242"/>
      <c r="D57" s="4"/>
    </row>
    <row r="58" spans="1:58" x14ac:dyDescent="0.2">
      <c r="C58" s="242"/>
      <c r="D58" s="4"/>
    </row>
    <row r="59" spans="1:58" x14ac:dyDescent="0.2">
      <c r="C59" s="242"/>
      <c r="D59" s="4"/>
    </row>
    <row r="60" spans="1:58" x14ac:dyDescent="0.2">
      <c r="C60" s="242"/>
      <c r="D60" s="4"/>
    </row>
    <row r="61" spans="1:58" x14ac:dyDescent="0.2">
      <c r="C61" s="242"/>
      <c r="D61" s="4"/>
    </row>
    <row r="62" spans="1:58" x14ac:dyDescent="0.2">
      <c r="C62" s="242"/>
      <c r="D62" s="4"/>
    </row>
    <row r="63" spans="1:58" x14ac:dyDescent="0.2">
      <c r="C63" s="242"/>
      <c r="D63" s="4"/>
    </row>
  </sheetData>
  <mergeCells count="22">
    <mergeCell ref="C43:D43"/>
    <mergeCell ref="C44:D44"/>
    <mergeCell ref="L1:L2"/>
    <mergeCell ref="M1:M2"/>
    <mergeCell ref="K1:K2"/>
    <mergeCell ref="C3:F3"/>
    <mergeCell ref="C40:D40"/>
    <mergeCell ref="C41:D41"/>
    <mergeCell ref="C42:D42"/>
    <mergeCell ref="D1:D2"/>
    <mergeCell ref="E1:E2"/>
    <mergeCell ref="F1:F2"/>
    <mergeCell ref="G1:G2"/>
    <mergeCell ref="H1:H2"/>
    <mergeCell ref="J1:J2"/>
    <mergeCell ref="I1:I2"/>
    <mergeCell ref="C45:D45"/>
    <mergeCell ref="A49:B49"/>
    <mergeCell ref="C49:E49"/>
    <mergeCell ref="B47:C47"/>
    <mergeCell ref="B48:C48"/>
    <mergeCell ref="A46:E46"/>
  </mergeCells>
  <conditionalFormatting sqref="N3:BF3 N40:BF40">
    <cfRule type="cellIs" dxfId="4" priority="6" operator="lessThan">
      <formula>0</formula>
    </cfRule>
  </conditionalFormatting>
  <conditionalFormatting sqref="D47:D48 E40:E45 F40 I40:J40">
    <cfRule type="cellIs" dxfId="3" priority="5" operator="lessThan">
      <formula>0</formula>
    </cfRule>
  </conditionalFormatting>
  <conditionalFormatting sqref="L3">
    <cfRule type="cellIs" dxfId="2" priority="3" operator="lessThan">
      <formula>0</formula>
    </cfRule>
  </conditionalFormatting>
  <conditionalFormatting sqref="L40">
    <cfRule type="cellIs" dxfId="1" priority="2" operator="lessThan">
      <formula>0</formula>
    </cfRule>
  </conditionalFormatting>
  <conditionalFormatting sqref="I3:J3">
    <cfRule type="cellIs" dxfId="0" priority="1" operator="lessThan">
      <formula>0</formula>
    </cfRule>
  </conditionalFormatting>
  <printOptions gridLines="1"/>
  <pageMargins left="0" right="0" top="0.35" bottom="0.1" header="0" footer="0"/>
  <pageSetup orientation="landscape" r:id="rId1"/>
  <headerFooter>
    <oddHeader>&amp;C&amp;F&amp;R&amp;D</oddHeader>
    <oddFooter>&amp;L&amp;8Page &amp;P of &amp;N&amp;R&amp;8&amp;Z&amp;F</oddFooter>
  </headerFooter>
  <ignoredErrors>
    <ignoredError sqref="F22 F15" formulaRange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3558A-6BD7-4237-82AE-DACD6CFFE468}">
  <sheetPr codeName="Sheet2">
    <tabColor rgb="FFFFFF00"/>
  </sheetPr>
  <dimension ref="A1:F10"/>
  <sheetViews>
    <sheetView workbookViewId="0">
      <selection activeCell="I28" sqref="I28"/>
    </sheetView>
  </sheetViews>
  <sheetFormatPr defaultRowHeight="15" x14ac:dyDescent="0.2"/>
  <cols>
    <col min="1" max="1" width="4.77734375" bestFit="1" customWidth="1"/>
    <col min="2" max="2" width="11.5546875" bestFit="1" customWidth="1"/>
    <col min="3" max="3" width="8" bestFit="1" customWidth="1"/>
    <col min="4" max="4" width="14.109375" bestFit="1" customWidth="1"/>
    <col min="5" max="5" width="9.44140625" bestFit="1" customWidth="1"/>
    <col min="6" max="6" width="13.21875" bestFit="1" customWidth="1"/>
  </cols>
  <sheetData>
    <row r="1" spans="1:6" x14ac:dyDescent="0.2">
      <c r="A1" s="149" t="s">
        <v>0</v>
      </c>
      <c r="B1" s="149" t="s">
        <v>1</v>
      </c>
      <c r="C1" s="149" t="s">
        <v>119</v>
      </c>
      <c r="D1" s="149" t="s">
        <v>120</v>
      </c>
      <c r="E1" s="149" t="s">
        <v>121</v>
      </c>
      <c r="F1" s="149" t="s">
        <v>122</v>
      </c>
    </row>
    <row r="2" spans="1:6" x14ac:dyDescent="0.2">
      <c r="A2" s="149" t="s">
        <v>123</v>
      </c>
      <c r="B2" s="149" t="s">
        <v>124</v>
      </c>
      <c r="C2" s="149">
        <v>3544</v>
      </c>
      <c r="D2" s="149" t="s">
        <v>106</v>
      </c>
      <c r="E2" s="149" t="s">
        <v>125</v>
      </c>
      <c r="F2" s="149" t="s">
        <v>126</v>
      </c>
    </row>
    <row r="3" spans="1:6" x14ac:dyDescent="0.2">
      <c r="A3" s="149" t="s">
        <v>123</v>
      </c>
      <c r="B3" s="149" t="s">
        <v>103</v>
      </c>
      <c r="C3" s="149"/>
      <c r="D3" s="149" t="s">
        <v>106</v>
      </c>
      <c r="E3" s="149"/>
      <c r="F3" s="149"/>
    </row>
    <row r="4" spans="1:6" x14ac:dyDescent="0.2">
      <c r="A4" s="149" t="s">
        <v>127</v>
      </c>
      <c r="B4" s="149" t="s">
        <v>104</v>
      </c>
      <c r="C4" s="149">
        <v>7500</v>
      </c>
      <c r="D4" s="149" t="s">
        <v>105</v>
      </c>
      <c r="E4" s="149" t="s">
        <v>128</v>
      </c>
      <c r="F4" s="149" t="s">
        <v>129</v>
      </c>
    </row>
    <row r="5" spans="1:6" x14ac:dyDescent="0.2">
      <c r="A5" s="149" t="s">
        <v>130</v>
      </c>
      <c r="B5" s="149" t="s">
        <v>108</v>
      </c>
      <c r="C5" s="149">
        <v>201.6</v>
      </c>
      <c r="D5" s="149" t="s">
        <v>106</v>
      </c>
      <c r="E5" s="149" t="s">
        <v>29</v>
      </c>
      <c r="F5" s="149" t="s">
        <v>131</v>
      </c>
    </row>
    <row r="6" spans="1:6" x14ac:dyDescent="0.2">
      <c r="A6" s="149" t="s">
        <v>132</v>
      </c>
      <c r="B6" s="149" t="s">
        <v>111</v>
      </c>
      <c r="C6" s="149">
        <v>1995.15</v>
      </c>
      <c r="D6" s="149" t="s">
        <v>106</v>
      </c>
      <c r="E6" s="149" t="s">
        <v>51</v>
      </c>
      <c r="F6" s="149" t="s">
        <v>133</v>
      </c>
    </row>
    <row r="7" spans="1:6" x14ac:dyDescent="0.2">
      <c r="A7" s="149"/>
      <c r="B7" s="149" t="s">
        <v>107</v>
      </c>
      <c r="C7" s="149"/>
      <c r="D7" s="149" t="s">
        <v>106</v>
      </c>
      <c r="E7" s="149" t="s">
        <v>12</v>
      </c>
      <c r="F7" s="149" t="s">
        <v>11</v>
      </c>
    </row>
    <row r="8" spans="1:6" x14ac:dyDescent="0.2">
      <c r="A8" s="149"/>
      <c r="B8" s="149" t="s">
        <v>110</v>
      </c>
      <c r="C8" s="149"/>
      <c r="D8" s="149" t="s">
        <v>106</v>
      </c>
      <c r="E8" s="149" t="s">
        <v>12</v>
      </c>
      <c r="F8" s="149" t="s">
        <v>11</v>
      </c>
    </row>
    <row r="9" spans="1:6" x14ac:dyDescent="0.2">
      <c r="A9" s="149"/>
      <c r="B9" s="149"/>
      <c r="C9" s="149"/>
      <c r="D9" s="149"/>
      <c r="E9" s="149"/>
      <c r="F9" s="149"/>
    </row>
    <row r="10" spans="1:6" x14ac:dyDescent="0.2">
      <c r="A10" s="149"/>
      <c r="B10" s="149"/>
      <c r="C10" s="149"/>
      <c r="D10" s="149"/>
      <c r="E10" s="149"/>
      <c r="F10" s="1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Blank Monthly</vt:lpstr>
      <vt:lpstr>YTD CDJ</vt:lpstr>
      <vt:lpstr>01 - CDJ</vt:lpstr>
      <vt:lpstr>02 - CDJ</vt:lpstr>
      <vt:lpstr>03 - CDJ</vt:lpstr>
      <vt:lpstr>04 - CDJ</vt:lpstr>
      <vt:lpstr>05 - CDJ</vt:lpstr>
      <vt:lpstr>06 - CDJ</vt:lpstr>
      <vt:lpstr>07 - CDJ</vt:lpstr>
      <vt:lpstr>08 - CDJ</vt:lpstr>
      <vt:lpstr>09 - CDJ</vt:lpstr>
      <vt:lpstr>10 - CDJ</vt:lpstr>
      <vt:lpstr>11 - CDJ</vt:lpstr>
      <vt:lpstr>12 - CDJ</vt:lpstr>
      <vt:lpstr>Auto POSTS</vt:lpstr>
      <vt:lpstr>'01 - CDJ'!Print_Titles</vt:lpstr>
      <vt:lpstr>'02 - CDJ'!Print_Titles</vt:lpstr>
      <vt:lpstr>'03 - CDJ'!Print_Titles</vt:lpstr>
      <vt:lpstr>'04 - CDJ'!Print_Titles</vt:lpstr>
      <vt:lpstr>'05 - CDJ'!Print_Titles</vt:lpstr>
      <vt:lpstr>'06 - CDJ'!Print_Titles</vt:lpstr>
      <vt:lpstr>'07 - CDJ'!Print_Titles</vt:lpstr>
      <vt:lpstr>'08 - CDJ'!Print_Titles</vt:lpstr>
      <vt:lpstr>'09 - CDJ'!Print_Titles</vt:lpstr>
      <vt:lpstr>'10 - CDJ'!Print_Titles</vt:lpstr>
      <vt:lpstr>'11 - CDJ'!Print_Titles</vt:lpstr>
      <vt:lpstr>'12 - CDJ'!Print_Titles</vt:lpstr>
      <vt:lpstr>'Blank Monthly'!Print_Titles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Simpson</dc:creator>
  <cp:lastModifiedBy>G Simpson</cp:lastModifiedBy>
  <cp:lastPrinted>2025-07-08T15:57:52Z</cp:lastPrinted>
  <dcterms:created xsi:type="dcterms:W3CDTF">2011-08-08T14:15:06Z</dcterms:created>
  <dcterms:modified xsi:type="dcterms:W3CDTF">2025-09-25T15:26:54Z</dcterms:modified>
</cp:coreProperties>
</file>